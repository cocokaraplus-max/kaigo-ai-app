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40" yWindow="1100" windowWidth="27900" windowHeight="16260" tabRatio="600" firstSheet="0" activeTab="1" autoFilterDateGrouping="1"/>
  </bookViews>
  <sheets>
    <sheet xmlns:r="http://schemas.openxmlformats.org/officeDocument/2006/relationships" name="Sheet1" sheetId="1" state="visible" r:id="rId1"/>
    <sheet xmlns:r="http://schemas.openxmlformats.org/officeDocument/2006/relationships" name="R8.7(半日型）" sheetId="2" state="visible" r:id="rId2"/>
    <sheet xmlns:r="http://schemas.openxmlformats.org/officeDocument/2006/relationships" name="R8.7 (1日型)" sheetId="3" state="visible" r:id="rId3"/>
  </sheets>
  <definedNames/>
  <calcPr calcId="181029" fullCalcOnLoad="1"/>
</workbook>
</file>

<file path=xl/styles.xml><?xml version="1.0" encoding="utf-8"?>
<styleSheet xmlns="http://schemas.openxmlformats.org/spreadsheetml/2006/main">
  <numFmts count="7">
    <numFmt numFmtId="164" formatCode="0.00_);[Red]\(0.00\)"/>
    <numFmt numFmtId="165" formatCode="0_);[Red]\(0\)"/>
    <numFmt numFmtId="166" formatCode="0.0_);[Red]\(0.0\)"/>
    <numFmt numFmtId="167" formatCode="aaa"/>
    <numFmt numFmtId="168" formatCode="d"/>
    <numFmt numFmtId="169" formatCode="#,##0.00_);[Red]\(#,##0.00\)"/>
    <numFmt numFmtId="170" formatCode="h:mm;@"/>
  </numFmts>
  <fonts count="25">
    <font>
      <name val="游ゴシック"/>
      <charset val="128"/>
      <family val="2"/>
      <color theme="1"/>
      <sz val="12"/>
      <scheme val="minor"/>
    </font>
    <font>
      <name val="ＭＳ Ｐ明朝"/>
      <charset val="128"/>
      <family val="1"/>
      <sz val="10"/>
    </font>
    <font>
      <name val="游ゴシック"/>
      <charset val="128"/>
      <family val="2"/>
      <sz val="10"/>
      <scheme val="minor"/>
    </font>
    <font>
      <name val="游ゴシック"/>
      <charset val="128"/>
      <family val="2"/>
      <sz val="6"/>
      <scheme val="minor"/>
    </font>
    <font>
      <name val="ＭＳ Ｐゴシック"/>
      <charset val="128"/>
      <family val="2"/>
      <sz val="6"/>
    </font>
    <font>
      <name val="ＭＳ Ｐ明朝"/>
      <charset val="128"/>
      <family val="1"/>
      <sz val="6"/>
    </font>
    <font>
      <name val="游ゴシック"/>
      <charset val="128"/>
      <family val="2"/>
      <color indexed="10"/>
      <sz val="10"/>
      <scheme val="minor"/>
    </font>
    <font>
      <name val="游ゴシック"/>
      <charset val="128"/>
      <family val="2"/>
      <color indexed="10"/>
      <sz val="11"/>
      <scheme val="minor"/>
    </font>
    <font>
      <name val="游ゴシック"/>
      <charset val="128"/>
      <family val="2"/>
      <b val="1"/>
      <sz val="11"/>
      <scheme val="minor"/>
    </font>
    <font>
      <name val="ＭＳ Ｐゴシック"/>
      <charset val="128"/>
      <family val="2"/>
      <b val="1"/>
      <sz val="11"/>
    </font>
    <font>
      <name val="ＭＳ Ｐゴシック"/>
      <charset val="128"/>
      <family val="2"/>
      <b val="1"/>
      <color indexed="10"/>
      <sz val="10"/>
    </font>
    <font>
      <name val="ＭＳ Ｐゴシック"/>
      <charset val="128"/>
      <family val="2"/>
      <sz val="10"/>
    </font>
    <font>
      <name val="游ゴシック"/>
      <charset val="128"/>
      <family val="2"/>
      <color theme="1"/>
      <sz val="10"/>
      <scheme val="minor"/>
    </font>
    <font>
      <name val="ＭＳ Ｐゴシック"/>
      <charset val="128"/>
      <family val="2"/>
      <color theme="1"/>
      <sz val="10"/>
    </font>
    <font>
      <name val="游ゴシック"/>
      <charset val="128"/>
      <family val="2"/>
      <sz val="9"/>
      <scheme val="minor"/>
    </font>
    <font>
      <name val="ＭＳ Ｐゴシック"/>
      <charset val="128"/>
      <family val="2"/>
      <sz val="9"/>
    </font>
    <font>
      <name val="游ゴシック"/>
      <charset val="128"/>
      <family val="2"/>
      <sz val="8"/>
      <scheme val="minor"/>
    </font>
    <font>
      <name val="游ゴシック"/>
      <charset val="128"/>
      <family val="2"/>
      <sz val="11"/>
      <scheme val="minor"/>
    </font>
    <font>
      <name val="游ゴシック"/>
      <charset val="128"/>
      <family val="2"/>
      <b val="1"/>
      <sz val="12"/>
      <scheme val="minor"/>
    </font>
    <font>
      <name val="游ゴシック"/>
      <charset val="128"/>
      <family val="2"/>
      <b val="1"/>
      <sz val="14"/>
      <scheme val="minor"/>
    </font>
    <font>
      <name val="游ゴシック"/>
      <charset val="128"/>
      <family val="2"/>
      <b val="1"/>
      <sz val="9"/>
      <scheme val="minor"/>
    </font>
    <font>
      <name val="ＭＳ Ｐゴシック"/>
      <charset val="128"/>
      <family val="2"/>
      <color rgb="FFFF0000"/>
      <sz val="10"/>
    </font>
    <font>
      <name val="ＭＳ Ｐゴシック"/>
      <charset val="128"/>
      <family val="2"/>
      <color theme="9" tint="0.7999816888943144"/>
      <sz val="10"/>
    </font>
    <font>
      <name val="游ゴシック"/>
      <charset val="128"/>
      <family val="2"/>
      <color theme="9" tint="0.7999816888943144"/>
      <sz val="10"/>
      <scheme val="minor"/>
    </font>
    <font>
      <name val="ＭＳ Ｐゴシック"/>
      <sz val="10"/>
    </font>
  </fonts>
  <fills count="9">
    <fill>
      <patternFill/>
    </fill>
    <fill>
      <patternFill patternType="gray125"/>
    </fill>
    <fill>
      <patternFill patternType="solid">
        <fgColor indexed="22"/>
        <bgColor indexed="64"/>
      </patternFill>
    </fill>
    <fill>
      <patternFill patternType="solid">
        <fgColor theme="7" tint="0.7999816888943144"/>
        <bgColor indexed="64"/>
      </patternFill>
    </fill>
    <fill>
      <patternFill patternType="solid">
        <fgColor theme="3" tint="0.7999816888943144"/>
        <bgColor indexed="64"/>
      </patternFill>
    </fill>
    <fill>
      <patternFill patternType="solid">
        <fgColor rgb="FFC5D9F1"/>
        <bgColor rgb="FF000000"/>
      </patternFill>
    </fill>
    <fill>
      <patternFill patternType="solid">
        <fgColor theme="9" tint="0.7999816888943144"/>
        <bgColor indexed="64"/>
      </patternFill>
    </fill>
    <fill>
      <patternFill patternType="solid">
        <fgColor theme="2" tint="-0.09997863704336681"/>
        <bgColor indexed="64"/>
      </patternFill>
    </fill>
    <fill>
      <patternFill patternType="solid">
        <fgColor theme="9" tint="0.7999816888943144"/>
        <bgColor rgb="FF000000"/>
      </patternFill>
    </fill>
  </fills>
  <borders count="50">
    <border>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medium">
        <color indexed="64"/>
      </left>
      <right style="medium">
        <color indexed="64"/>
      </right>
      <top/>
      <bottom style="medium">
        <color indexed="64"/>
      </bottom>
      <diagonal/>
    </border>
    <border>
      <left style="double">
        <color indexed="64"/>
      </left>
      <right style="medium">
        <color indexed="64"/>
      </right>
      <top/>
      <bottom style="medium">
        <color indexed="64"/>
      </bottom>
      <diagonal/>
    </border>
    <border>
      <left/>
      <right style="double">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double">
        <color indexed="64"/>
      </left>
      <right style="medium">
        <color indexed="64"/>
      </right>
      <top style="thin">
        <color indexed="64"/>
      </top>
      <bottom/>
      <diagonal/>
    </border>
    <border>
      <left/>
      <right style="double">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style="medium">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style="double">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style="thin">
        <color indexed="64"/>
      </left>
      <right style="thin">
        <color indexed="64"/>
      </right>
      <top/>
      <bottom/>
      <diagonal/>
    </border>
    <border>
      <left style="medium">
        <color indexed="64"/>
      </left>
      <right/>
      <top/>
      <bottom/>
      <diagonal/>
    </border>
    <border>
      <left/>
      <right style="medium">
        <color indexed="64"/>
      </right>
      <top style="medium">
        <color indexed="64"/>
      </top>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diagonal/>
    </border>
    <border>
      <left/>
      <right/>
      <top style="thin">
        <color indexed="64"/>
      </top>
      <bottom/>
      <diagonal/>
    </border>
    <border>
      <left/>
      <right style="thin">
        <color indexed="64"/>
      </right>
      <top style="thin">
        <color indexed="64"/>
      </top>
      <bottom/>
      <diagonal/>
    </border>
    <border>
      <left style="double">
        <color indexed="64"/>
      </left>
      <right/>
      <top/>
      <bottom/>
      <diagonal/>
    </border>
    <border>
      <left style="thin">
        <color indexed="64"/>
      </left>
      <right/>
      <top/>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thin">
        <color indexed="64"/>
      </bottom>
      <diagonal/>
    </border>
  </borders>
  <cellStyleXfs count="2">
    <xf numFmtId="0" fontId="0" fillId="0" borderId="0" applyAlignment="1">
      <alignment vertical="center"/>
    </xf>
    <xf numFmtId="0" fontId="1" fillId="0" borderId="0"/>
  </cellStyleXfs>
  <cellXfs count="235">
    <xf numFmtId="0" fontId="0" fillId="0" borderId="0" applyAlignment="1" pivotButton="0" quotePrefix="0" xfId="0">
      <alignment vertical="center"/>
    </xf>
    <xf numFmtId="0" fontId="2" fillId="0" borderId="0" pivotButton="0" quotePrefix="0" xfId="1"/>
    <xf numFmtId="0" fontId="2" fillId="0" borderId="0" applyAlignment="1" pivotButton="0" quotePrefix="0" xfId="1">
      <alignment horizontal="left"/>
    </xf>
    <xf numFmtId="0" fontId="2" fillId="2" borderId="1" applyAlignment="1" pivotButton="0" quotePrefix="0" xfId="1">
      <alignment horizontal="left"/>
    </xf>
    <xf numFmtId="0" fontId="2" fillId="2" borderId="2" applyAlignment="1" pivotButton="0" quotePrefix="0" xfId="1">
      <alignment horizontal="left"/>
    </xf>
    <xf numFmtId="0" fontId="2" fillId="2" borderId="3" applyAlignment="1" pivotButton="0" quotePrefix="0" xfId="1">
      <alignment horizontal="left"/>
    </xf>
    <xf numFmtId="0" fontId="6" fillId="0" borderId="4" applyAlignment="1" pivotButton="0" quotePrefix="0" xfId="1">
      <alignment horizontal="right"/>
    </xf>
    <xf numFmtId="0" fontId="2" fillId="0" borderId="1" pivotButton="0" quotePrefix="0" xfId="1"/>
    <xf numFmtId="0" fontId="2" fillId="0" borderId="2" pivotButton="0" quotePrefix="0" xfId="1"/>
    <xf numFmtId="0" fontId="2" fillId="2" borderId="3" applyAlignment="1" pivotButton="0" quotePrefix="0" xfId="1">
      <alignment horizontal="left" wrapText="1"/>
    </xf>
    <xf numFmtId="0" fontId="7" fillId="0" borderId="4" applyAlignment="1" pivotButton="0" quotePrefix="0" xfId="1">
      <alignment horizontal="right"/>
    </xf>
    <xf numFmtId="0" fontId="8" fillId="0" borderId="0" pivotButton="0" quotePrefix="0" xfId="1"/>
    <xf numFmtId="0" fontId="9" fillId="0" borderId="0" pivotButton="0" quotePrefix="0" xfId="1"/>
    <xf numFmtId="0" fontId="11" fillId="0" borderId="5" pivotButton="0" quotePrefix="0" xfId="1"/>
    <xf numFmtId="164" fontId="12" fillId="0" borderId="6" applyAlignment="1" pivotButton="0" quotePrefix="0" xfId="1">
      <alignment horizontal="center" vertical="center"/>
    </xf>
    <xf numFmtId="165" fontId="12" fillId="0" borderId="7" applyAlignment="1" pivotButton="0" quotePrefix="0" xfId="1">
      <alignment horizontal="center" vertical="center"/>
    </xf>
    <xf numFmtId="166" fontId="11" fillId="0" borderId="8" applyAlignment="1" pivotButton="0" quotePrefix="0" xfId="1">
      <alignment horizontal="center" vertical="center"/>
    </xf>
    <xf numFmtId="166" fontId="11" fillId="0" borderId="9" applyAlignment="1" pivotButton="0" quotePrefix="0" xfId="1">
      <alignment horizontal="center" vertical="center"/>
    </xf>
    <xf numFmtId="166" fontId="13" fillId="0" borderId="8" applyAlignment="1" pivotButton="0" quotePrefix="0" xfId="1">
      <alignment horizontal="center" vertical="center"/>
    </xf>
    <xf numFmtId="166" fontId="13" fillId="0" borderId="9" applyAlignment="1" pivotButton="0" quotePrefix="0" xfId="1">
      <alignment horizontal="center" vertical="center"/>
    </xf>
    <xf numFmtId="0" fontId="2" fillId="0" borderId="10" applyAlignment="1" pivotButton="0" quotePrefix="0" xfId="1">
      <alignment vertical="center"/>
    </xf>
    <xf numFmtId="0" fontId="2" fillId="0" borderId="11" applyAlignment="1" pivotButton="0" quotePrefix="0" xfId="1">
      <alignment horizontal="center" vertical="center"/>
    </xf>
    <xf numFmtId="0" fontId="2" fillId="0" borderId="12" applyAlignment="1" pivotButton="0" quotePrefix="0" xfId="1">
      <alignment horizontal="left" vertical="center"/>
    </xf>
    <xf numFmtId="0" fontId="11" fillId="0" borderId="13" pivotButton="0" quotePrefix="0" xfId="1"/>
    <xf numFmtId="164" fontId="12" fillId="0" borderId="14" applyAlignment="1" pivotButton="0" quotePrefix="0" xfId="1">
      <alignment horizontal="center" vertical="center"/>
    </xf>
    <xf numFmtId="165" fontId="12" fillId="0" borderId="15" applyAlignment="1" pivotButton="0" quotePrefix="0" xfId="1">
      <alignment horizontal="center" vertical="center"/>
    </xf>
    <xf numFmtId="166" fontId="13" fillId="0" borderId="16" applyAlignment="1" pivotButton="0" quotePrefix="0" xfId="1">
      <alignment horizontal="center" vertical="center"/>
    </xf>
    <xf numFmtId="166" fontId="13" fillId="0" borderId="1" applyAlignment="1" pivotButton="0" quotePrefix="0" xfId="1">
      <alignment horizontal="center" vertical="center"/>
    </xf>
    <xf numFmtId="166" fontId="11" fillId="0" borderId="1" applyAlignment="1" pivotButton="0" quotePrefix="0" xfId="1">
      <alignment horizontal="center" vertical="center"/>
    </xf>
    <xf numFmtId="0" fontId="2" fillId="0" borderId="16" applyAlignment="1" pivotButton="0" quotePrefix="0" xfId="1">
      <alignment vertical="center"/>
    </xf>
    <xf numFmtId="0" fontId="2" fillId="0" borderId="17" applyAlignment="1" pivotButton="0" quotePrefix="0" xfId="1">
      <alignment horizontal="center" vertical="center"/>
    </xf>
    <xf numFmtId="0" fontId="14" fillId="0" borderId="18" applyAlignment="1" pivotButton="0" quotePrefix="0" xfId="1">
      <alignment horizontal="left" vertical="center"/>
    </xf>
    <xf numFmtId="164" fontId="12" fillId="0" borderId="19" applyAlignment="1" pivotButton="0" quotePrefix="0" xfId="1">
      <alignment horizontal="center" vertical="center"/>
    </xf>
    <xf numFmtId="166" fontId="11" fillId="0" borderId="16" applyAlignment="1" pivotButton="0" quotePrefix="0" xfId="1">
      <alignment horizontal="center" vertical="center"/>
    </xf>
    <xf numFmtId="0" fontId="2" fillId="0" borderId="18" applyAlignment="1" pivotButton="0" quotePrefix="0" xfId="1">
      <alignment horizontal="left" vertical="center"/>
    </xf>
    <xf numFmtId="164" fontId="12" fillId="0" borderId="20" applyAlignment="1" pivotButton="0" quotePrefix="0" xfId="1">
      <alignment horizontal="center" vertical="center"/>
    </xf>
    <xf numFmtId="166" fontId="13" fillId="0" borderId="17" applyAlignment="1" pivotButton="0" quotePrefix="0" xfId="1">
      <alignment vertical="center"/>
    </xf>
    <xf numFmtId="166" fontId="13" fillId="0" borderId="16" applyAlignment="1" pivotButton="0" quotePrefix="0" xfId="1">
      <alignment vertical="center"/>
    </xf>
    <xf numFmtId="166" fontId="11" fillId="0" borderId="1" applyAlignment="1" pivotButton="0" quotePrefix="0" xfId="1">
      <alignment vertical="center"/>
    </xf>
    <xf numFmtId="164" fontId="12" fillId="0" borderId="21" applyAlignment="1" pivotButton="0" quotePrefix="0" xfId="1">
      <alignment horizontal="center" vertical="center"/>
    </xf>
    <xf numFmtId="164" fontId="12" fillId="0" borderId="22" applyAlignment="1" pivotButton="0" quotePrefix="0" xfId="1">
      <alignment horizontal="center" vertical="center"/>
    </xf>
    <xf numFmtId="0" fontId="11" fillId="0" borderId="16" applyAlignment="1" pivotButton="0" quotePrefix="0" xfId="1">
      <alignment vertical="center"/>
    </xf>
    <xf numFmtId="164" fontId="12" fillId="0" borderId="23" applyAlignment="1" pivotButton="0" quotePrefix="0" xfId="1">
      <alignment horizontal="center" vertical="center"/>
    </xf>
    <xf numFmtId="165" fontId="12" fillId="0" borderId="24" applyAlignment="1" pivotButton="0" quotePrefix="0" xfId="1">
      <alignment horizontal="center" vertical="center"/>
    </xf>
    <xf numFmtId="166" fontId="11" fillId="0" borderId="25" applyAlignment="1" pivotButton="0" quotePrefix="0" xfId="1">
      <alignment horizontal="center" vertical="center"/>
    </xf>
    <xf numFmtId="166" fontId="11" fillId="0" borderId="26" applyAlignment="1" pivotButton="0" quotePrefix="0" xfId="1">
      <alignment horizontal="center" vertical="center"/>
    </xf>
    <xf numFmtId="166" fontId="11" fillId="0" borderId="17" applyAlignment="1" pivotButton="0" quotePrefix="0" xfId="1">
      <alignment vertical="center" textRotation="255"/>
    </xf>
    <xf numFmtId="166" fontId="11" fillId="0" borderId="1" applyAlignment="1" pivotButton="0" quotePrefix="0" xfId="1">
      <alignment vertical="center" textRotation="255"/>
    </xf>
    <xf numFmtId="166" fontId="13" fillId="0" borderId="25" applyAlignment="1" pivotButton="0" quotePrefix="0" xfId="1">
      <alignment horizontal="center" vertical="center"/>
    </xf>
    <xf numFmtId="166" fontId="13" fillId="0" borderId="26" applyAlignment="1" pivotButton="0" quotePrefix="0" xfId="1">
      <alignment horizontal="center" vertical="center"/>
    </xf>
    <xf numFmtId="166" fontId="13" fillId="0" borderId="17" applyAlignment="1" pivotButton="0" quotePrefix="0" xfId="1">
      <alignment vertical="center" textRotation="255"/>
    </xf>
    <xf numFmtId="0" fontId="2" fillId="0" borderId="25" applyAlignment="1" pivotButton="0" quotePrefix="0" xfId="1">
      <alignment vertical="center"/>
    </xf>
    <xf numFmtId="0" fontId="2" fillId="0" borderId="21" applyAlignment="1" pivotButton="0" quotePrefix="0" xfId="1">
      <alignment horizontal="center" vertical="center"/>
    </xf>
    <xf numFmtId="0" fontId="2" fillId="0" borderId="27" applyAlignment="1" pivotButton="0" quotePrefix="0" xfId="1">
      <alignment horizontal="left" vertical="center"/>
    </xf>
    <xf numFmtId="164" fontId="12" fillId="3" borderId="20" applyAlignment="1" pivotButton="0" quotePrefix="0" xfId="1">
      <alignment horizontal="center" vertical="center"/>
    </xf>
    <xf numFmtId="165" fontId="12" fillId="3" borderId="15" applyAlignment="1" pivotButton="0" quotePrefix="0" xfId="1">
      <alignment horizontal="center" vertical="center"/>
    </xf>
    <xf numFmtId="166" fontId="13" fillId="3" borderId="16" applyAlignment="1" pivotButton="0" quotePrefix="0" xfId="1">
      <alignment vertical="center"/>
    </xf>
    <xf numFmtId="166" fontId="13" fillId="3" borderId="17" applyAlignment="1" pivotButton="0" quotePrefix="0" xfId="1">
      <alignment vertical="center"/>
    </xf>
    <xf numFmtId="166" fontId="11" fillId="3" borderId="1" applyAlignment="1" pivotButton="0" quotePrefix="0" xfId="1">
      <alignment vertical="center"/>
    </xf>
    <xf numFmtId="0" fontId="2" fillId="3" borderId="16" applyAlignment="1" pivotButton="0" quotePrefix="0" xfId="1">
      <alignment vertical="center"/>
    </xf>
    <xf numFmtId="0" fontId="2" fillId="3" borderId="17" applyAlignment="1" pivotButton="0" quotePrefix="0" xfId="1">
      <alignment horizontal="center" vertical="center"/>
    </xf>
    <xf numFmtId="0" fontId="2" fillId="3" borderId="18" applyAlignment="1" pivotButton="0" quotePrefix="0" xfId="1">
      <alignment horizontal="left" vertical="center"/>
    </xf>
    <xf numFmtId="164" fontId="12" fillId="3" borderId="14" applyAlignment="1" pivotButton="0" quotePrefix="0" xfId="1">
      <alignment horizontal="center" vertical="center"/>
    </xf>
    <xf numFmtId="166" fontId="13" fillId="3" borderId="16" applyAlignment="1" pivotButton="0" quotePrefix="0" xfId="1">
      <alignment horizontal="center" vertical="center"/>
    </xf>
    <xf numFmtId="166" fontId="13" fillId="3" borderId="1" applyAlignment="1" pivotButton="0" quotePrefix="0" xfId="1">
      <alignment horizontal="center" vertical="center"/>
    </xf>
    <xf numFmtId="166" fontId="11" fillId="3" borderId="1" applyAlignment="1" pivotButton="0" quotePrefix="0" xfId="1">
      <alignment horizontal="center" vertical="center"/>
    </xf>
    <xf numFmtId="0" fontId="2" fillId="3" borderId="23" applyAlignment="1" pivotButton="0" quotePrefix="0" xfId="1">
      <alignment vertical="center"/>
    </xf>
    <xf numFmtId="0" fontId="14" fillId="3" borderId="18" applyAlignment="1" pivotButton="0" quotePrefix="0" xfId="1">
      <alignment horizontal="left" vertical="center"/>
    </xf>
    <xf numFmtId="164" fontId="12" fillId="4" borderId="19" applyAlignment="1" pivotButton="0" quotePrefix="0" xfId="1">
      <alignment horizontal="center" vertical="center"/>
    </xf>
    <xf numFmtId="165" fontId="12" fillId="4" borderId="15" applyAlignment="1" pivotButton="0" quotePrefix="0" xfId="1">
      <alignment horizontal="center" vertical="center"/>
    </xf>
    <xf numFmtId="166" fontId="13" fillId="4" borderId="16" applyAlignment="1" pivotButton="0" quotePrefix="0" xfId="1">
      <alignment horizontal="center" vertical="center"/>
    </xf>
    <xf numFmtId="166" fontId="13" fillId="4" borderId="1" applyAlignment="1" pivotButton="0" quotePrefix="0" xfId="1">
      <alignment horizontal="center" vertical="center"/>
    </xf>
    <xf numFmtId="166" fontId="13" fillId="5" borderId="1" applyAlignment="1" pivotButton="0" quotePrefix="0" xfId="1">
      <alignment horizontal="center" vertical="center"/>
    </xf>
    <xf numFmtId="166" fontId="13" fillId="4" borderId="17" applyAlignment="1" pivotButton="0" quotePrefix="0" xfId="1">
      <alignment vertical="center" textRotation="255"/>
    </xf>
    <xf numFmtId="166" fontId="15" fillId="4" borderId="1" applyAlignment="1" pivotButton="0" quotePrefix="0" xfId="1">
      <alignment horizontal="center" vertical="center"/>
    </xf>
    <xf numFmtId="0" fontId="2" fillId="4" borderId="16" applyAlignment="1" pivotButton="0" quotePrefix="0" xfId="1">
      <alignment vertical="center"/>
    </xf>
    <xf numFmtId="0" fontId="2" fillId="4" borderId="17" applyAlignment="1" pivotButton="0" quotePrefix="0" xfId="1">
      <alignment horizontal="center" vertical="center"/>
    </xf>
    <xf numFmtId="0" fontId="2" fillId="4" borderId="18" applyAlignment="1" pivotButton="0" quotePrefix="0" xfId="1">
      <alignment horizontal="left" vertical="center"/>
    </xf>
    <xf numFmtId="164" fontId="12" fillId="4" borderId="20" applyAlignment="1" pivotButton="0" quotePrefix="0" xfId="1">
      <alignment horizontal="center" vertical="center"/>
    </xf>
    <xf numFmtId="166" fontId="13" fillId="4" borderId="16" applyAlignment="1" pivotButton="0" quotePrefix="0" xfId="1">
      <alignment vertical="center"/>
    </xf>
    <xf numFmtId="166" fontId="13" fillId="4" borderId="17" applyAlignment="1" pivotButton="0" quotePrefix="0" xfId="1">
      <alignment vertical="center"/>
    </xf>
    <xf numFmtId="166" fontId="11" fillId="4" borderId="1" applyAlignment="1" pivotButton="0" quotePrefix="0" xfId="1">
      <alignment vertical="center"/>
    </xf>
    <xf numFmtId="166" fontId="11" fillId="4" borderId="1" applyAlignment="1" pivotButton="0" quotePrefix="0" xfId="1">
      <alignment horizontal="center" vertical="center"/>
    </xf>
    <xf numFmtId="164" fontId="12" fillId="4" borderId="14" applyAlignment="1" pivotButton="0" quotePrefix="0" xfId="1">
      <alignment horizontal="center" vertical="center"/>
    </xf>
    <xf numFmtId="164" fontId="12" fillId="6" borderId="21" applyAlignment="1" pivotButton="0" quotePrefix="0" xfId="1">
      <alignment horizontal="center" vertical="center"/>
    </xf>
    <xf numFmtId="165" fontId="12" fillId="6" borderId="15" applyAlignment="1" pivotButton="0" quotePrefix="0" xfId="1">
      <alignment horizontal="center" vertical="center"/>
    </xf>
    <xf numFmtId="166" fontId="13" fillId="6" borderId="16" applyAlignment="1" pivotButton="0" quotePrefix="0" xfId="1">
      <alignment horizontal="center" vertical="center"/>
    </xf>
    <xf numFmtId="166" fontId="13" fillId="6" borderId="1" applyAlignment="1" pivotButton="0" quotePrefix="0" xfId="1">
      <alignment horizontal="center" vertical="center"/>
    </xf>
    <xf numFmtId="0" fontId="2" fillId="6" borderId="16" applyAlignment="1" pivotButton="0" quotePrefix="0" xfId="1">
      <alignment vertical="center"/>
    </xf>
    <xf numFmtId="0" fontId="2" fillId="6" borderId="17" applyAlignment="1" pivotButton="0" quotePrefix="0" xfId="1">
      <alignment horizontal="center" vertical="center"/>
    </xf>
    <xf numFmtId="0" fontId="2" fillId="6" borderId="18" applyAlignment="1" pivotButton="0" quotePrefix="0" xfId="1">
      <alignment horizontal="left" vertical="center"/>
    </xf>
    <xf numFmtId="164" fontId="12" fillId="6" borderId="22" applyAlignment="1" pivotButton="0" quotePrefix="0" xfId="1">
      <alignment horizontal="center" vertical="center"/>
    </xf>
    <xf numFmtId="0" fontId="11" fillId="0" borderId="29" pivotButton="0" quotePrefix="0" xfId="1"/>
    <xf numFmtId="164" fontId="12" fillId="7" borderId="17" applyAlignment="1" pivotButton="0" quotePrefix="0" xfId="1">
      <alignment horizontal="center" vertical="center"/>
    </xf>
    <xf numFmtId="165" fontId="12" fillId="7" borderId="24" applyAlignment="1" pivotButton="0" quotePrefix="0" xfId="1">
      <alignment horizontal="center" vertical="center"/>
    </xf>
    <xf numFmtId="166" fontId="13" fillId="7" borderId="30" applyAlignment="1" pivotButton="0" quotePrefix="0" xfId="1">
      <alignment horizontal="center" vertical="center"/>
    </xf>
    <xf numFmtId="166" fontId="13" fillId="7" borderId="31" applyAlignment="1" pivotButton="0" quotePrefix="0" xfId="1">
      <alignment horizontal="center" vertical="center"/>
    </xf>
    <xf numFmtId="166" fontId="11" fillId="7" borderId="31" applyAlignment="1" pivotButton="0" quotePrefix="0" xfId="1">
      <alignment horizontal="center" vertical="center"/>
    </xf>
    <xf numFmtId="0" fontId="2" fillId="7" borderId="25" applyAlignment="1" pivotButton="0" quotePrefix="0" xfId="1">
      <alignment vertical="center"/>
    </xf>
    <xf numFmtId="0" fontId="2" fillId="7" borderId="21" applyAlignment="1" pivotButton="0" quotePrefix="0" xfId="1">
      <alignment horizontal="center" vertical="center"/>
    </xf>
    <xf numFmtId="0" fontId="2" fillId="7" borderId="27" applyAlignment="1" pivotButton="0" quotePrefix="0" xfId="1">
      <alignment horizontal="left" vertical="center"/>
    </xf>
    <xf numFmtId="0" fontId="2" fillId="0" borderId="5" applyAlignment="1" pivotButton="0" quotePrefix="0" xfId="1">
      <alignment horizontal="distributed"/>
    </xf>
    <xf numFmtId="0" fontId="14" fillId="0" borderId="10" pivotButton="0" quotePrefix="0" xfId="1"/>
    <xf numFmtId="0" fontId="2" fillId="0" borderId="10" pivotButton="0" quotePrefix="0" xfId="1"/>
    <xf numFmtId="0" fontId="11" fillId="0" borderId="8" applyAlignment="1" pivotButton="0" quotePrefix="0" xfId="1">
      <alignment horizontal="center"/>
    </xf>
    <xf numFmtId="0" fontId="11" fillId="0" borderId="9" applyAlignment="1" pivotButton="0" quotePrefix="0" xfId="1">
      <alignment horizontal="center"/>
    </xf>
    <xf numFmtId="167" fontId="11" fillId="0" borderId="9" applyAlignment="1" pivotButton="0" quotePrefix="0" xfId="1">
      <alignment horizontal="center"/>
    </xf>
    <xf numFmtId="167" fontId="11" fillId="0" borderId="12" applyAlignment="1" pivotButton="0" quotePrefix="0" xfId="1">
      <alignment horizontal="center"/>
    </xf>
    <xf numFmtId="0" fontId="2" fillId="0" borderId="32" pivotButton="0" quotePrefix="0" xfId="1"/>
    <xf numFmtId="0" fontId="2" fillId="0" borderId="33" pivotButton="0" quotePrefix="0" xfId="1"/>
    <xf numFmtId="0" fontId="2" fillId="0" borderId="13" applyAlignment="1" pivotButton="0" quotePrefix="0" xfId="1">
      <alignment horizontal="distributed"/>
    </xf>
    <xf numFmtId="0" fontId="14" fillId="0" borderId="23" pivotButton="0" quotePrefix="0" xfId="1"/>
    <xf numFmtId="0" fontId="2" fillId="0" borderId="23" pivotButton="0" quotePrefix="0" xfId="1"/>
    <xf numFmtId="168" fontId="2" fillId="0" borderId="28" applyAlignment="1" pivotButton="0" quotePrefix="0" xfId="1">
      <alignment horizontal="center"/>
    </xf>
    <xf numFmtId="168" fontId="2" fillId="0" borderId="1" applyAlignment="1" pivotButton="0" quotePrefix="0" xfId="1">
      <alignment horizontal="center"/>
    </xf>
    <xf numFmtId="168" fontId="2" fillId="0" borderId="18" applyAlignment="1" pivotButton="0" quotePrefix="0" xfId="1">
      <alignment horizontal="center"/>
    </xf>
    <xf numFmtId="0" fontId="2" fillId="0" borderId="23" applyAlignment="1" pivotButton="0" quotePrefix="0" xfId="1">
      <alignment horizontal="center"/>
    </xf>
    <xf numFmtId="0" fontId="16" fillId="0" borderId="34" pivotButton="0" quotePrefix="0" xfId="1"/>
    <xf numFmtId="0" fontId="17" fillId="0" borderId="35" applyAlignment="1" pivotButton="0" quotePrefix="0" xfId="1">
      <alignment horizontal="center"/>
    </xf>
    <xf numFmtId="0" fontId="2" fillId="0" borderId="29" applyAlignment="1" pivotButton="0" quotePrefix="0" xfId="1">
      <alignment horizontal="distributed"/>
    </xf>
    <xf numFmtId="0" fontId="14" fillId="0" borderId="36" pivotButton="0" quotePrefix="0" xfId="1"/>
    <xf numFmtId="0" fontId="2" fillId="0" borderId="36" pivotButton="0" quotePrefix="0" xfId="1"/>
    <xf numFmtId="0" fontId="2" fillId="0" borderId="37" applyAlignment="1" pivotButton="0" quotePrefix="0" xfId="1">
      <alignment horizontal="center"/>
    </xf>
    <xf numFmtId="0" fontId="2" fillId="0" borderId="38" applyAlignment="1" pivotButton="0" quotePrefix="0" xfId="1">
      <alignment horizontal="center"/>
    </xf>
    <xf numFmtId="0" fontId="2" fillId="0" borderId="39" applyAlignment="1" pivotButton="0" quotePrefix="0" xfId="1">
      <alignment horizontal="center"/>
    </xf>
    <xf numFmtId="0" fontId="16" fillId="0" borderId="40" pivotButton="0" quotePrefix="0" xfId="1"/>
    <xf numFmtId="0" fontId="2" fillId="0" borderId="41" pivotButton="0" quotePrefix="0" xfId="1"/>
    <xf numFmtId="169" fontId="14" fillId="0" borderId="0" applyAlignment="1" pivotButton="0" quotePrefix="0" xfId="1">
      <alignment horizontal="center" vertical="center"/>
    </xf>
    <xf numFmtId="0" fontId="14" fillId="0" borderId="0" applyAlignment="1" pivotButton="0" quotePrefix="0" xfId="1">
      <alignment horizontal="center" vertical="center"/>
    </xf>
    <xf numFmtId="170" fontId="14" fillId="0" borderId="0" applyAlignment="1" pivotButton="0" quotePrefix="0" xfId="1">
      <alignment horizontal="center" vertical="center"/>
    </xf>
    <xf numFmtId="0" fontId="18" fillId="0" borderId="0" pivotButton="0" quotePrefix="0" xfId="1"/>
    <xf numFmtId="0" fontId="19" fillId="0" borderId="0" pivotButton="0" quotePrefix="0" xfId="1"/>
    <xf numFmtId="0" fontId="20" fillId="0" borderId="0" applyAlignment="1" pivotButton="0" quotePrefix="0" xfId="1">
      <alignment horizontal="center" vertical="center"/>
    </xf>
    <xf numFmtId="0" fontId="18" fillId="0" borderId="0" applyAlignment="1" pivotButton="0" quotePrefix="0" xfId="1">
      <alignment shrinkToFit="1"/>
    </xf>
    <xf numFmtId="0" fontId="17" fillId="0" borderId="0" pivotButton="0" quotePrefix="0" xfId="1"/>
    <xf numFmtId="164" fontId="12" fillId="3" borderId="6" applyAlignment="1" pivotButton="0" quotePrefix="0" xfId="1">
      <alignment horizontal="center" vertical="center"/>
    </xf>
    <xf numFmtId="165" fontId="12" fillId="3" borderId="7" applyAlignment="1" pivotButton="0" quotePrefix="0" xfId="1">
      <alignment horizontal="center" vertical="center"/>
    </xf>
    <xf numFmtId="166" fontId="13" fillId="3" borderId="8" applyAlignment="1" pivotButton="0" quotePrefix="0" xfId="1">
      <alignment horizontal="center" vertical="center"/>
    </xf>
    <xf numFmtId="166" fontId="13" fillId="3" borderId="9" applyAlignment="1" pivotButton="0" quotePrefix="0" xfId="1">
      <alignment horizontal="center" vertical="center"/>
    </xf>
    <xf numFmtId="166" fontId="11" fillId="3" borderId="9" applyAlignment="1" pivotButton="0" quotePrefix="0" xfId="1">
      <alignment horizontal="center" vertical="center"/>
    </xf>
    <xf numFmtId="0" fontId="2" fillId="3" borderId="10" applyAlignment="1" pivotButton="0" quotePrefix="0" xfId="1">
      <alignment vertical="center"/>
    </xf>
    <xf numFmtId="0" fontId="2" fillId="3" borderId="11" applyAlignment="1" pivotButton="0" quotePrefix="0" xfId="1">
      <alignment horizontal="center" vertical="center"/>
    </xf>
    <xf numFmtId="0" fontId="2" fillId="3" borderId="12" applyAlignment="1" pivotButton="0" quotePrefix="0" xfId="1">
      <alignment horizontal="left" vertical="center"/>
    </xf>
    <xf numFmtId="166" fontId="11" fillId="8" borderId="1" applyAlignment="1" pivotButton="0" quotePrefix="0" xfId="1">
      <alignment horizontal="center" vertical="center"/>
    </xf>
    <xf numFmtId="166" fontId="13" fillId="8" borderId="1" applyAlignment="1" pivotButton="0" quotePrefix="0" xfId="1">
      <alignment horizontal="center" vertical="center"/>
    </xf>
    <xf numFmtId="166" fontId="13" fillId="8" borderId="28" applyAlignment="1" pivotButton="0" quotePrefix="0" xfId="1">
      <alignment horizontal="center" vertical="center"/>
    </xf>
    <xf numFmtId="165" fontId="23" fillId="6" borderId="15" applyAlignment="1" pivotButton="0" quotePrefix="0" xfId="1">
      <alignment horizontal="center" vertical="center"/>
    </xf>
    <xf numFmtId="164" fontId="23" fillId="6" borderId="22" applyAlignment="1" pivotButton="0" quotePrefix="0" xfId="1">
      <alignment horizontal="center" vertical="center"/>
    </xf>
    <xf numFmtId="166" fontId="22" fillId="6" borderId="1" applyAlignment="1" pivotButton="0" quotePrefix="0" xfId="1">
      <alignment horizontal="center" vertical="center"/>
    </xf>
    <xf numFmtId="166" fontId="22" fillId="6" borderId="16" applyAlignment="1" pivotButton="0" quotePrefix="0" xfId="1">
      <alignment horizontal="center" vertical="center"/>
    </xf>
    <xf numFmtId="164" fontId="23" fillId="6" borderId="21" applyAlignment="1" pivotButton="0" quotePrefix="0" xfId="1">
      <alignment horizontal="center" vertical="center"/>
    </xf>
    <xf numFmtId="166" fontId="22" fillId="8" borderId="1" applyAlignment="1" pivotButton="0" quotePrefix="0" xfId="1">
      <alignment horizontal="center" vertical="center"/>
    </xf>
    <xf numFmtId="166" fontId="22" fillId="8" borderId="28" applyAlignment="1" pivotButton="0" quotePrefix="0" xfId="1">
      <alignment horizontal="center" vertical="center"/>
    </xf>
    <xf numFmtId="0" fontId="11" fillId="8" borderId="16" applyAlignment="1" pivotButton="0" quotePrefix="0" xfId="1">
      <alignment vertical="center"/>
    </xf>
    <xf numFmtId="166" fontId="21" fillId="8" borderId="1" applyAlignment="1" pivotButton="0" quotePrefix="0" xfId="1">
      <alignment horizontal="center" vertical="center"/>
    </xf>
    <xf numFmtId="0" fontId="0" fillId="0" borderId="0" pivotButton="0" quotePrefix="0" xfId="0"/>
    <xf numFmtId="170" fontId="14" fillId="0" borderId="0" applyAlignment="1" pivotButton="0" quotePrefix="0" xfId="1">
      <alignment horizontal="center" vertical="center"/>
    </xf>
    <xf numFmtId="169" fontId="14" fillId="0" borderId="0" applyAlignment="1" pivotButton="0" quotePrefix="0" xfId="1">
      <alignment horizontal="center" vertical="center"/>
    </xf>
    <xf numFmtId="0" fontId="0" fillId="0" borderId="38" pivotButton="0" quotePrefix="0" xfId="0"/>
    <xf numFmtId="0" fontId="0" fillId="0" borderId="37" pivotButton="0" quotePrefix="0" xfId="0"/>
    <xf numFmtId="0" fontId="2" fillId="0" borderId="49" applyAlignment="1" pivotButton="0" quotePrefix="0" xfId="1">
      <alignment horizontal="center"/>
    </xf>
    <xf numFmtId="168" fontId="2" fillId="0" borderId="18" applyAlignment="1" pivotButton="0" quotePrefix="0" xfId="1">
      <alignment horizontal="center"/>
    </xf>
    <xf numFmtId="168" fontId="2" fillId="0" borderId="1" applyAlignment="1" pivotButton="0" quotePrefix="0" xfId="1">
      <alignment horizontal="center"/>
    </xf>
    <xf numFmtId="168" fontId="2" fillId="0" borderId="28" applyAlignment="1" pivotButton="0" quotePrefix="0" xfId="1">
      <alignment horizontal="center"/>
    </xf>
    <xf numFmtId="167" fontId="11" fillId="0" borderId="12" applyAlignment="1" pivotButton="0" quotePrefix="0" xfId="1">
      <alignment horizontal="center"/>
    </xf>
    <xf numFmtId="167" fontId="11" fillId="0" borderId="9" applyAlignment="1" pivotButton="0" quotePrefix="0" xfId="1">
      <alignment horizontal="center"/>
    </xf>
    <xf numFmtId="166" fontId="11" fillId="7" borderId="31" applyAlignment="1" pivotButton="0" quotePrefix="0" xfId="1">
      <alignment horizontal="center" vertical="center"/>
    </xf>
    <xf numFmtId="166" fontId="13" fillId="7" borderId="31" applyAlignment="1" pivotButton="0" quotePrefix="0" xfId="1">
      <alignment horizontal="center" vertical="center"/>
    </xf>
    <xf numFmtId="166" fontId="13" fillId="7" borderId="30" applyAlignment="1" pivotButton="0" quotePrefix="0" xfId="1">
      <alignment horizontal="center" vertical="center"/>
    </xf>
    <xf numFmtId="165" fontId="12" fillId="7" borderId="24" applyAlignment="1" pivotButton="0" quotePrefix="0" xfId="1">
      <alignment horizontal="center" vertical="center"/>
    </xf>
    <xf numFmtId="164" fontId="12" fillId="7" borderId="17" applyAlignment="1" pivotButton="0" quotePrefix="0" xfId="1">
      <alignment horizontal="center" vertical="center"/>
    </xf>
    <xf numFmtId="166" fontId="11" fillId="0" borderId="1" applyAlignment="1" pivotButton="0" quotePrefix="0" xfId="1">
      <alignment vertical="center" textRotation="255"/>
    </xf>
    <xf numFmtId="166" fontId="13" fillId="0" borderId="1" applyAlignment="1" pivotButton="0" quotePrefix="0" xfId="1">
      <alignment vertical="center" textRotation="255"/>
    </xf>
    <xf numFmtId="166" fontId="13" fillId="0" borderId="1" applyAlignment="1" pivotButton="0" quotePrefix="0" xfId="1">
      <alignment horizontal="center" vertical="center"/>
    </xf>
    <xf numFmtId="166" fontId="13" fillId="0" borderId="16" applyAlignment="1" pivotButton="0" quotePrefix="0" xfId="1">
      <alignment horizontal="center" vertical="center"/>
    </xf>
    <xf numFmtId="165" fontId="12" fillId="0" borderId="15" applyAlignment="1" pivotButton="0" quotePrefix="0" xfId="1">
      <alignment horizontal="center" vertical="center"/>
    </xf>
    <xf numFmtId="164" fontId="12" fillId="0" borderId="46" applyAlignment="1" pivotButton="0" quotePrefix="0" xfId="1">
      <alignment horizontal="center" vertical="center"/>
    </xf>
    <xf numFmtId="166" fontId="13" fillId="0" borderId="17" applyAlignment="1" pivotButton="0" quotePrefix="0" xfId="1">
      <alignment vertical="center" textRotation="255"/>
    </xf>
    <xf numFmtId="166" fontId="13" fillId="0" borderId="26" applyAlignment="1" pivotButton="0" quotePrefix="0" xfId="1">
      <alignment horizontal="center" vertical="center"/>
    </xf>
    <xf numFmtId="166" fontId="13" fillId="0" borderId="25" applyAlignment="1" pivotButton="0" quotePrefix="0" xfId="1">
      <alignment horizontal="center" vertical="center"/>
    </xf>
    <xf numFmtId="165" fontId="12" fillId="0" borderId="24" applyAlignment="1" pivotButton="0" quotePrefix="0" xfId="1">
      <alignment horizontal="center" vertical="center"/>
    </xf>
    <xf numFmtId="164" fontId="12" fillId="0" borderId="23" applyAlignment="1" pivotButton="0" quotePrefix="0" xfId="1">
      <alignment horizontal="center" vertical="center"/>
    </xf>
    <xf numFmtId="166" fontId="22" fillId="8" borderId="1" applyAlignment="1" pivotButton="0" quotePrefix="0" xfId="1">
      <alignment horizontal="center" vertical="center"/>
    </xf>
    <xf numFmtId="166" fontId="22" fillId="8" borderId="16" applyAlignment="1" pivotButton="0" quotePrefix="0" xfId="1">
      <alignment horizontal="center" vertical="center"/>
    </xf>
    <xf numFmtId="165" fontId="23" fillId="6" borderId="15" applyAlignment="1" pivotButton="0" quotePrefix="0" xfId="1">
      <alignment horizontal="center" vertical="center"/>
    </xf>
    <xf numFmtId="164" fontId="23" fillId="6" borderId="46" applyAlignment="1" pivotButton="0" quotePrefix="0" xfId="1">
      <alignment horizontal="center" vertical="center"/>
    </xf>
    <xf numFmtId="166" fontId="22" fillId="6" borderId="1" applyAlignment="1" pivotButton="0" quotePrefix="0" xfId="1">
      <alignment horizontal="center" vertical="center"/>
    </xf>
    <xf numFmtId="166" fontId="22" fillId="6" borderId="16" applyAlignment="1" pivotButton="0" quotePrefix="0" xfId="1">
      <alignment horizontal="center" vertical="center"/>
    </xf>
    <xf numFmtId="0" fontId="0" fillId="0" borderId="46" pivotButton="0" quotePrefix="0" xfId="0"/>
    <xf numFmtId="166" fontId="11" fillId="4" borderId="1" applyAlignment="1" pivotButton="0" quotePrefix="0" xfId="1">
      <alignment horizontal="center" vertical="center"/>
    </xf>
    <xf numFmtId="166" fontId="13" fillId="4" borderId="1" applyAlignment="1" pivotButton="0" quotePrefix="0" xfId="1">
      <alignment horizontal="center" vertical="center"/>
    </xf>
    <xf numFmtId="166" fontId="13" fillId="4" borderId="16" applyAlignment="1" pivotButton="0" quotePrefix="0" xfId="1">
      <alignment horizontal="center" vertical="center"/>
    </xf>
    <xf numFmtId="165" fontId="12" fillId="4" borderId="15" applyAlignment="1" pivotButton="0" quotePrefix="0" xfId="1">
      <alignment horizontal="center" vertical="center"/>
    </xf>
    <xf numFmtId="164" fontId="12" fillId="4" borderId="46" applyAlignment="1" pivotButton="0" quotePrefix="0" xfId="1">
      <alignment horizontal="center" vertical="center"/>
    </xf>
    <xf numFmtId="166" fontId="11" fillId="4" borderId="1" applyAlignment="1" pivotButton="0" quotePrefix="0" xfId="1">
      <alignment vertical="center"/>
    </xf>
    <xf numFmtId="166" fontId="13" fillId="4" borderId="1" applyAlignment="1" pivotButton="0" quotePrefix="0" xfId="1">
      <alignment vertical="center"/>
    </xf>
    <xf numFmtId="166" fontId="13" fillId="4" borderId="16" applyAlignment="1" pivotButton="0" quotePrefix="0" xfId="1">
      <alignment vertical="center"/>
    </xf>
    <xf numFmtId="166" fontId="15" fillId="4" borderId="1" applyAlignment="1" pivotButton="0" quotePrefix="0" xfId="1">
      <alignment horizontal="center" vertical="center"/>
    </xf>
    <xf numFmtId="166" fontId="13" fillId="4" borderId="1" applyAlignment="1" pivotButton="0" quotePrefix="0" xfId="1">
      <alignment vertical="center" textRotation="255"/>
    </xf>
    <xf numFmtId="166" fontId="13" fillId="5" borderId="1" applyAlignment="1" pivotButton="0" quotePrefix="0" xfId="1">
      <alignment horizontal="center" vertical="center"/>
    </xf>
    <xf numFmtId="166" fontId="11" fillId="3" borderId="1" applyAlignment="1" pivotButton="0" quotePrefix="0" xfId="1">
      <alignment horizontal="center" vertical="center"/>
    </xf>
    <xf numFmtId="166" fontId="13" fillId="3" borderId="1" applyAlignment="1" pivotButton="0" quotePrefix="0" xfId="1">
      <alignment horizontal="center" vertical="center"/>
    </xf>
    <xf numFmtId="166" fontId="13" fillId="3" borderId="16" applyAlignment="1" pivotButton="0" quotePrefix="0" xfId="1">
      <alignment horizontal="center" vertical="center"/>
    </xf>
    <xf numFmtId="165" fontId="12" fillId="3" borderId="15" applyAlignment="1" pivotButton="0" quotePrefix="0" xfId="1">
      <alignment horizontal="center" vertical="center"/>
    </xf>
    <xf numFmtId="164" fontId="12" fillId="3" borderId="46" applyAlignment="1" pivotButton="0" quotePrefix="0" xfId="1">
      <alignment horizontal="center" vertical="center"/>
    </xf>
    <xf numFmtId="166" fontId="11" fillId="3" borderId="1" applyAlignment="1" pivotButton="0" quotePrefix="0" xfId="1">
      <alignment vertical="center"/>
    </xf>
    <xf numFmtId="166" fontId="13" fillId="3" borderId="1" applyAlignment="1" pivotButton="0" quotePrefix="0" xfId="1">
      <alignment vertical="center"/>
    </xf>
    <xf numFmtId="166" fontId="13" fillId="3" borderId="16" applyAlignment="1" pivotButton="0" quotePrefix="0" xfId="1">
      <alignment vertical="center"/>
    </xf>
    <xf numFmtId="166" fontId="11" fillId="8" borderId="1" applyAlignment="1" pivotButton="0" quotePrefix="0" xfId="1">
      <alignment horizontal="center" vertical="center"/>
    </xf>
    <xf numFmtId="166" fontId="13" fillId="8" borderId="1" applyAlignment="1" pivotButton="0" quotePrefix="0" xfId="1">
      <alignment horizontal="center" vertical="center"/>
    </xf>
    <xf numFmtId="166" fontId="24" fillId="8" borderId="1" applyAlignment="1" pivotButton="0" quotePrefix="0" xfId="1">
      <alignment horizontal="center" vertical="center"/>
    </xf>
    <xf numFmtId="166" fontId="13" fillId="6" borderId="16" applyAlignment="1" pivotButton="0" quotePrefix="0" xfId="1">
      <alignment horizontal="center" vertical="center"/>
    </xf>
    <xf numFmtId="165" fontId="12" fillId="6" borderId="15" applyAlignment="1" pivotButton="0" quotePrefix="0" xfId="1">
      <alignment horizontal="center" vertical="center"/>
    </xf>
    <xf numFmtId="164" fontId="12" fillId="6" borderId="46" applyAlignment="1" pivotButton="0" quotePrefix="0" xfId="1">
      <alignment horizontal="center" vertical="center"/>
    </xf>
    <xf numFmtId="166" fontId="13" fillId="6" borderId="1" applyAlignment="1" pivotButton="0" quotePrefix="0" xfId="1">
      <alignment horizontal="center" vertical="center"/>
    </xf>
    <xf numFmtId="166" fontId="11" fillId="3" borderId="9" applyAlignment="1" pivotButton="0" quotePrefix="0" xfId="1">
      <alignment horizontal="center" vertical="center"/>
    </xf>
    <xf numFmtId="166" fontId="13" fillId="3" borderId="9" applyAlignment="1" pivotButton="0" quotePrefix="0" xfId="1">
      <alignment horizontal="center" vertical="center"/>
    </xf>
    <xf numFmtId="166" fontId="13" fillId="3" borderId="8" applyAlignment="1" pivotButton="0" quotePrefix="0" xfId="1">
      <alignment horizontal="center" vertical="center"/>
    </xf>
    <xf numFmtId="165" fontId="12" fillId="3" borderId="7" applyAlignment="1" pivotButton="0" quotePrefix="0" xfId="1">
      <alignment horizontal="center" vertical="center"/>
    </xf>
    <xf numFmtId="0" fontId="0" fillId="0" borderId="6" pivotButton="0" quotePrefix="0" xfId="0"/>
    <xf numFmtId="0" fontId="2" fillId="2" borderId="17" applyAlignment="1" pivotButton="0" quotePrefix="0" xfId="1">
      <alignment horizontal="left" wrapText="1"/>
    </xf>
    <xf numFmtId="0" fontId="0" fillId="0" borderId="2" pivotButton="0" quotePrefix="0" xfId="0"/>
    <xf numFmtId="0" fontId="0" fillId="0" borderId="1" pivotButton="0" quotePrefix="0" xfId="0"/>
    <xf numFmtId="0" fontId="2" fillId="2" borderId="17" applyAlignment="1" pivotButton="0" quotePrefix="0" xfId="1">
      <alignment horizontal="left"/>
    </xf>
    <xf numFmtId="166" fontId="13" fillId="8" borderId="16" applyAlignment="1" pivotButton="0" quotePrefix="0" xfId="1">
      <alignment horizontal="center" vertical="center"/>
    </xf>
    <xf numFmtId="166" fontId="11" fillId="0" borderId="1" applyAlignment="1" pivotButton="0" quotePrefix="0" xfId="1">
      <alignment horizontal="center" vertical="center"/>
    </xf>
    <xf numFmtId="166" fontId="11" fillId="0" borderId="16" applyAlignment="1" pivotButton="0" quotePrefix="0" xfId="1">
      <alignment horizontal="center" vertical="center"/>
    </xf>
    <xf numFmtId="166" fontId="11" fillId="0" borderId="1" applyAlignment="1" pivotButton="0" quotePrefix="0" xfId="1">
      <alignment vertical="center"/>
    </xf>
    <xf numFmtId="166" fontId="13" fillId="0" borderId="1" applyAlignment="1" pivotButton="0" quotePrefix="0" xfId="1">
      <alignment vertical="center"/>
    </xf>
    <xf numFmtId="166" fontId="13" fillId="0" borderId="16" applyAlignment="1" pivotButton="0" quotePrefix="0" xfId="1">
      <alignment vertical="center"/>
    </xf>
    <xf numFmtId="166" fontId="11" fillId="0" borderId="9" applyAlignment="1" pivotButton="0" quotePrefix="0" xfId="1">
      <alignment horizontal="center" vertical="center"/>
    </xf>
    <xf numFmtId="166" fontId="13" fillId="0" borderId="9" applyAlignment="1" pivotButton="0" quotePrefix="0" xfId="1">
      <alignment horizontal="center" vertical="center"/>
    </xf>
    <xf numFmtId="166" fontId="13" fillId="0" borderId="8" applyAlignment="1" pivotButton="0" quotePrefix="0" xfId="1">
      <alignment horizontal="center" vertical="center"/>
    </xf>
    <xf numFmtId="166" fontId="11" fillId="0" borderId="8" applyAlignment="1" pivotButton="0" quotePrefix="0" xfId="1">
      <alignment horizontal="center" vertical="center"/>
    </xf>
    <xf numFmtId="165" fontId="12" fillId="0" borderId="7" applyAlignment="1" pivotButton="0" quotePrefix="0" xfId="1">
      <alignment horizontal="center" vertical="center"/>
    </xf>
  </cellXfs>
  <cellStyles count="2">
    <cellStyle name="標準" xfId="0" builtinId="0"/>
    <cellStyle name="標準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20"/>
  <sheetData/>
  <pageMargins left="0.7" right="0.7" top="0.75" bottom="0.75" header="0.3" footer="0.3"/>
</worksheet>
</file>

<file path=xl/worksheets/sheet2.xml><?xml version="1.0" encoding="utf-8"?>
<worksheet xmlns="http://schemas.openxmlformats.org/spreadsheetml/2006/main">
  <sheetPr>
    <tabColor indexed="14"/>
    <outlinePr summaryBelow="1" summaryRight="1"/>
    <pageSetUpPr fitToPage="1"/>
  </sheetPr>
  <dimension ref="A1:AH47"/>
  <sheetViews>
    <sheetView tabSelected="1" zoomScale="96" zoomScaleNormal="70" zoomScaleSheetLayoutView="100" workbookViewId="0">
      <pane ySplit="9" topLeftCell="A10" activePane="bottomLeft" state="frozen"/>
      <selection pane="bottomLeft" activeCell="I2" sqref="I2"/>
    </sheetView>
  </sheetViews>
  <sheetFormatPr baseColWidth="10" defaultColWidth="6.42578125" defaultRowHeight="17"/>
  <cols>
    <col width="10" customWidth="1" style="1" min="1" max="1"/>
    <col width="2.85546875" customWidth="1" style="1" min="2" max="2"/>
    <col width="11.7109375" customWidth="1" style="1" min="3" max="3"/>
    <col width="3.28515625" customWidth="1" style="1" min="4" max="18"/>
    <col width="3.7109375" customWidth="1" style="1" min="19" max="19"/>
    <col width="3.28515625" customWidth="1" style="1" min="20" max="31"/>
    <col width="4.5703125" customWidth="1" style="1" min="32" max="32"/>
    <col width="4.140625" customWidth="1" style="1" min="33" max="33"/>
    <col width="22.42578125" customWidth="1" style="1" min="34" max="34"/>
    <col width="2.7109375" customWidth="1" style="1" min="35" max="35"/>
    <col width="6.42578125" customWidth="1" style="1" min="36" max="16384"/>
  </cols>
  <sheetData>
    <row r="1">
      <c r="A1" s="1" t="inlineStr">
        <is>
          <t>（参考様式４）</t>
        </is>
      </c>
    </row>
    <row r="2" ht="18.75" customHeight="1" s="155">
      <c r="A2" s="131" t="inlineStr">
        <is>
          <t>従業者の勤務の体制及び勤務形態一覧表</t>
        </is>
      </c>
      <c r="M2" s="134" t="inlineStr">
        <is>
          <t>勤務予定（令和８年７月分）</t>
        </is>
      </c>
      <c r="N2" s="134" t="n"/>
      <c r="O2" s="134" t="n"/>
      <c r="P2" s="134" t="n"/>
      <c r="V2" s="12" t="inlineStr">
        <is>
          <t>サービス種類（　地域密着型通所介護・介護予防通所サービス　）</t>
        </is>
      </c>
    </row>
    <row r="3" ht="18.75" customHeight="1" s="155">
      <c r="A3" s="130" t="n"/>
      <c r="Q3" s="11" t="n"/>
      <c r="V3" s="11" t="inlineStr">
        <is>
          <t>事業所名　 　（機能訓練型デイサービス　ココカラプラス）</t>
        </is>
      </c>
      <c r="W3" s="11" t="n"/>
      <c r="X3" s="11" t="n"/>
      <c r="Y3" s="11" t="n"/>
      <c r="Z3" s="11" t="n"/>
      <c r="AA3" s="11" t="n"/>
      <c r="AB3" s="11" t="n"/>
      <c r="AC3" s="11" t="n"/>
      <c r="AD3" s="11" t="n"/>
      <c r="AE3" s="11" t="n"/>
      <c r="AF3" s="11" t="n"/>
      <c r="AG3" s="11" t="n"/>
    </row>
    <row r="4" ht="18.75" customFormat="1" customHeight="1" s="131">
      <c r="A4" s="131" t="inlineStr">
        <is>
          <t>常勤職員の勤務時間</t>
        </is>
      </c>
      <c r="D4" s="131" t="inlineStr">
        <is>
          <t>１日</t>
        </is>
      </c>
      <c r="G4" s="131" t="n">
        <v>8</v>
      </c>
      <c r="H4" s="131" t="inlineStr">
        <is>
          <t>時間</t>
        </is>
      </c>
      <c r="P4" s="131" t="inlineStr">
        <is>
          <t>４週</t>
        </is>
      </c>
      <c r="S4" s="130" t="n">
        <v>160</v>
      </c>
      <c r="T4" s="131" t="inlineStr">
        <is>
          <t>時間</t>
        </is>
      </c>
      <c r="X4" s="132" t="n"/>
      <c r="Z4" s="132" t="n"/>
      <c r="AA4" s="132" t="n"/>
      <c r="AB4" s="132" t="n"/>
      <c r="AC4" s="132" t="n"/>
      <c r="AD4" s="132" t="n"/>
      <c r="AE4" s="132" t="n"/>
      <c r="AF4" s="132" t="n"/>
      <c r="AG4" s="132" t="n"/>
    </row>
    <row r="5" ht="18.75" customHeight="1" s="155">
      <c r="A5" s="130" t="inlineStr">
        <is>
          <t>（常勤職員の勤務時間は事業所の就業規則を確認して記載してください。）</t>
        </is>
      </c>
      <c r="Q5" s="11" t="n"/>
      <c r="V5" s="11" t="n"/>
      <c r="X5" s="156" t="n"/>
      <c r="Z5" s="156" t="n"/>
      <c r="AA5" s="156" t="n"/>
      <c r="AB5" s="156" t="n"/>
      <c r="AC5" s="156" t="n"/>
      <c r="AD5" s="156" t="n"/>
      <c r="AE5" s="156" t="n"/>
      <c r="AF5" s="128" t="n"/>
      <c r="AG5" s="157" t="n"/>
    </row>
    <row r="6" ht="18.75" customHeight="1" s="155" thickBot="1">
      <c r="A6" s="130" t="n"/>
      <c r="Q6" s="11" t="n"/>
      <c r="V6" s="11" t="n"/>
      <c r="X6" s="156" t="n"/>
      <c r="Z6" s="156" t="n"/>
      <c r="AA6" s="156" t="n"/>
      <c r="AB6" s="156" t="n"/>
      <c r="AC6" s="156" t="n"/>
      <c r="AD6" s="156" t="n"/>
      <c r="AE6" s="156" t="n"/>
      <c r="AF6" s="128" t="n"/>
      <c r="AG6" s="157" t="n"/>
    </row>
    <row r="7" ht="18.75" customHeight="1" s="155">
      <c r="A7" s="126" t="n"/>
      <c r="B7" s="125" t="inlineStr">
        <is>
          <t>勤務</t>
        </is>
      </c>
      <c r="C7" s="121" t="n"/>
      <c r="D7" s="122" t="inlineStr">
        <is>
          <t xml:space="preserve">　　　第　　１　　週</t>
        </is>
      </c>
      <c r="E7" s="158" t="n"/>
      <c r="F7" s="158" t="n"/>
      <c r="G7" s="158" t="n"/>
      <c r="H7" s="158" t="n"/>
      <c r="I7" s="158" t="n"/>
      <c r="J7" s="159" t="n"/>
      <c r="K7" s="160" t="inlineStr">
        <is>
          <t xml:space="preserve">　　　第　　２　　週</t>
        </is>
      </c>
      <c r="L7" s="158" t="n"/>
      <c r="M7" s="158" t="n"/>
      <c r="N7" s="158" t="n"/>
      <c r="O7" s="158" t="n"/>
      <c r="P7" s="158" t="n"/>
      <c r="Q7" s="159" t="n"/>
      <c r="R7" s="160" t="inlineStr">
        <is>
          <t xml:space="preserve">　　　第　　３　　週</t>
        </is>
      </c>
      <c r="S7" s="158" t="n"/>
      <c r="T7" s="158" t="n"/>
      <c r="U7" s="158" t="n"/>
      <c r="V7" s="158" t="n"/>
      <c r="W7" s="158" t="n"/>
      <c r="X7" s="159" t="n"/>
      <c r="Y7" s="160" t="inlineStr">
        <is>
          <t xml:space="preserve">　　　第　　４　　週</t>
        </is>
      </c>
      <c r="Z7" s="158" t="n"/>
      <c r="AA7" s="158" t="n"/>
      <c r="AB7" s="158" t="n"/>
      <c r="AC7" s="158" t="n"/>
      <c r="AD7" s="158" t="n"/>
      <c r="AE7" s="159" t="n"/>
      <c r="AF7" s="121" t="inlineStr">
        <is>
          <t>４週の</t>
        </is>
      </c>
      <c r="AG7" s="120" t="inlineStr">
        <is>
          <t>常勤換</t>
        </is>
      </c>
      <c r="AH7" s="119" t="inlineStr">
        <is>
          <t>兼務先及び</t>
        </is>
      </c>
    </row>
    <row r="8" ht="18" customHeight="1" s="155">
      <c r="A8" s="118" t="inlineStr">
        <is>
          <t>職　　種</t>
        </is>
      </c>
      <c r="B8" s="117" t="inlineStr">
        <is>
          <t>形態</t>
        </is>
      </c>
      <c r="C8" s="116" t="inlineStr">
        <is>
          <t>氏　　名</t>
        </is>
      </c>
      <c r="D8" s="161" t="n">
        <v>45992</v>
      </c>
      <c r="E8" s="162">
        <f>D8+1</f>
        <v/>
      </c>
      <c r="F8" s="162">
        <f>E8+1</f>
        <v/>
      </c>
      <c r="G8" s="162">
        <f>F8+1</f>
        <v/>
      </c>
      <c r="H8" s="162">
        <f>G8+1</f>
        <v/>
      </c>
      <c r="I8" s="162">
        <f>H8+1</f>
        <v/>
      </c>
      <c r="J8" s="163">
        <f>I8+1</f>
        <v/>
      </c>
      <c r="K8" s="161">
        <f>J8+1</f>
        <v/>
      </c>
      <c r="L8" s="162">
        <f>K8+1</f>
        <v/>
      </c>
      <c r="M8" s="162">
        <f>L8+1</f>
        <v/>
      </c>
      <c r="N8" s="162">
        <f>M8+1</f>
        <v/>
      </c>
      <c r="O8" s="162">
        <f>N8+1</f>
        <v/>
      </c>
      <c r="P8" s="162">
        <f>O8+1</f>
        <v/>
      </c>
      <c r="Q8" s="163">
        <f>P8+1</f>
        <v/>
      </c>
      <c r="R8" s="161">
        <f>Q8+1</f>
        <v/>
      </c>
      <c r="S8" s="162">
        <f>R8+1</f>
        <v/>
      </c>
      <c r="T8" s="162">
        <f>S8+1</f>
        <v/>
      </c>
      <c r="U8" s="162">
        <f>T8+1</f>
        <v/>
      </c>
      <c r="V8" s="162">
        <f>U8+1</f>
        <v/>
      </c>
      <c r="W8" s="162">
        <f>V8+1</f>
        <v/>
      </c>
      <c r="X8" s="163">
        <f>W8+1</f>
        <v/>
      </c>
      <c r="Y8" s="161">
        <f>X8+1</f>
        <v/>
      </c>
      <c r="Z8" s="162">
        <f>Y8+1</f>
        <v/>
      </c>
      <c r="AA8" s="162">
        <f>Z8+1</f>
        <v/>
      </c>
      <c r="AB8" s="162">
        <f>AA8+1</f>
        <v/>
      </c>
      <c r="AC8" s="162">
        <f>AB8+1</f>
        <v/>
      </c>
      <c r="AD8" s="162">
        <f>AC8+1</f>
        <v/>
      </c>
      <c r="AE8" s="163">
        <f>AD8+1</f>
        <v/>
      </c>
      <c r="AF8" s="112" t="n"/>
      <c r="AG8" s="111" t="inlineStr">
        <is>
          <t>算後の</t>
        </is>
      </c>
      <c r="AH8" s="110" t="inlineStr">
        <is>
          <t>兼務する職</t>
        </is>
      </c>
    </row>
    <row r="9" ht="18" customHeight="1" s="155" thickBot="1">
      <c r="A9" s="109" t="n"/>
      <c r="B9" s="108" t="n"/>
      <c r="C9" s="103" t="n"/>
      <c r="D9" s="164">
        <f>TEXT(D8,"aaa")</f>
        <v/>
      </c>
      <c r="E9" s="165">
        <f>TEXT(E8,"aaa")</f>
        <v/>
      </c>
      <c r="F9" s="105">
        <f>TEXT(F8,"aaa")</f>
        <v/>
      </c>
      <c r="G9" s="105">
        <f>TEXT(G8,"aaa")</f>
        <v/>
      </c>
      <c r="H9" s="105">
        <f>TEXT(H8,"aaa")</f>
        <v/>
      </c>
      <c r="I9" s="105">
        <f>TEXT(I8,"aaa")</f>
        <v/>
      </c>
      <c r="J9" s="104">
        <f>TEXT(J8,"aaa")</f>
        <v/>
      </c>
      <c r="K9" s="164">
        <f>TEXT(K8,"aaa")</f>
        <v/>
      </c>
      <c r="L9" s="165">
        <f>TEXT(L8,"aaa")</f>
        <v/>
      </c>
      <c r="M9" s="105">
        <f>TEXT(M8,"aaa")</f>
        <v/>
      </c>
      <c r="N9" s="105">
        <f>TEXT(N8,"aaa")</f>
        <v/>
      </c>
      <c r="O9" s="105">
        <f>TEXT(O8,"aaa")</f>
        <v/>
      </c>
      <c r="P9" s="105">
        <f>TEXT(P8,"aaa")</f>
        <v/>
      </c>
      <c r="Q9" s="104">
        <f>TEXT(Q8,"aaa")</f>
        <v/>
      </c>
      <c r="R9" s="164">
        <f>TEXT(R8,"aaa")</f>
        <v/>
      </c>
      <c r="S9" s="165">
        <f>TEXT(S8,"aaa")</f>
        <v/>
      </c>
      <c r="T9" s="105">
        <f>TEXT(T8,"aaa")</f>
        <v/>
      </c>
      <c r="U9" s="105">
        <f>TEXT(U8,"aaa")</f>
        <v/>
      </c>
      <c r="V9" s="105">
        <f>TEXT(V8,"aaa")</f>
        <v/>
      </c>
      <c r="W9" s="105">
        <f>TEXT(W8,"aaa")</f>
        <v/>
      </c>
      <c r="X9" s="104">
        <f>TEXT(X8,"aaa")</f>
        <v/>
      </c>
      <c r="Y9" s="164">
        <f>TEXT(Y8,"aaa")</f>
        <v/>
      </c>
      <c r="Z9" s="165">
        <f>TEXT(Z8,"aaa")</f>
        <v/>
      </c>
      <c r="AA9" s="105">
        <f>TEXT(AA8,"aaa")</f>
        <v/>
      </c>
      <c r="AB9" s="105">
        <f>TEXT(AB8,"aaa")</f>
        <v/>
      </c>
      <c r="AC9" s="105">
        <f>TEXT(AC8,"aaa")</f>
        <v/>
      </c>
      <c r="AD9" s="105">
        <f>TEXT(AD8,"aaa")</f>
        <v/>
      </c>
      <c r="AE9" s="104">
        <f>TEXT(AE8,"aaa")</f>
        <v/>
      </c>
      <c r="AF9" s="103" t="inlineStr">
        <is>
          <t>合 計</t>
        </is>
      </c>
      <c r="AG9" s="102" t="inlineStr">
        <is>
          <t>人数</t>
        </is>
      </c>
      <c r="AH9" s="101" t="inlineStr">
        <is>
          <t>務の内容</t>
        </is>
      </c>
    </row>
    <row r="10" ht="18" customHeight="1" s="155">
      <c r="A10" s="100" t="inlineStr">
        <is>
          <t>管理者</t>
        </is>
      </c>
      <c r="B10" s="99" t="n"/>
      <c r="C10" s="98" t="n"/>
      <c r="D10" s="166" t="n"/>
      <c r="E10" s="167" t="n"/>
      <c r="F10" s="167" t="n"/>
      <c r="G10" s="167" t="n"/>
      <c r="H10" s="167" t="n"/>
      <c r="I10" s="167" t="n"/>
      <c r="J10" s="168" t="n"/>
      <c r="K10" s="166" t="n"/>
      <c r="L10" s="167" t="n"/>
      <c r="M10" s="167" t="n"/>
      <c r="N10" s="167" t="n"/>
      <c r="O10" s="167" t="n"/>
      <c r="P10" s="167" t="n"/>
      <c r="Q10" s="168" t="n"/>
      <c r="R10" s="166" t="n"/>
      <c r="S10" s="167" t="n"/>
      <c r="T10" s="167" t="n"/>
      <c r="U10" s="167" t="n"/>
      <c r="V10" s="167" t="n"/>
      <c r="W10" s="167" t="n"/>
      <c r="X10" s="168" t="n"/>
      <c r="Y10" s="166" t="n"/>
      <c r="Z10" s="167" t="n"/>
      <c r="AA10" s="167" t="n"/>
      <c r="AB10" s="167" t="n"/>
      <c r="AC10" s="167" t="n"/>
      <c r="AD10" s="167" t="n"/>
      <c r="AE10" s="168" t="n"/>
      <c r="AF10" s="169">
        <f>SUM(D10:AE10)</f>
        <v/>
      </c>
      <c r="AG10" s="170">
        <f>SUM(AF10)/160</f>
        <v/>
      </c>
      <c r="AH10" s="92" t="inlineStr">
        <is>
          <t>機能訓練指導員と兼務</t>
        </is>
      </c>
    </row>
    <row r="11" ht="18" customHeight="1" s="155">
      <c r="A11" s="34" t="n"/>
      <c r="B11" s="30" t="n"/>
      <c r="C11" s="29" t="n"/>
      <c r="D11" s="171" t="n"/>
      <c r="E11" s="172" t="n"/>
      <c r="F11" s="172" t="n"/>
      <c r="G11" s="172" t="n"/>
      <c r="H11" s="172" t="n"/>
      <c r="I11" s="173" t="n"/>
      <c r="J11" s="174" t="n"/>
      <c r="K11" s="171" t="n"/>
      <c r="L11" s="172" t="n"/>
      <c r="M11" s="172" t="n"/>
      <c r="N11" s="172" t="n"/>
      <c r="O11" s="172" t="n"/>
      <c r="P11" s="173" t="n"/>
      <c r="Q11" s="174" t="n"/>
      <c r="R11" s="171" t="n"/>
      <c r="S11" s="172" t="n"/>
      <c r="T11" s="172" t="n"/>
      <c r="U11" s="172" t="n"/>
      <c r="V11" s="172" t="n"/>
      <c r="W11" s="173" t="n"/>
      <c r="X11" s="174" t="n"/>
      <c r="Y11" s="171" t="n"/>
      <c r="Z11" s="172" t="n"/>
      <c r="AA11" s="172" t="n"/>
      <c r="AB11" s="172" t="n"/>
      <c r="AC11" s="172" t="n"/>
      <c r="AD11" s="173" t="n"/>
      <c r="AE11" s="174" t="n"/>
      <c r="AF11" s="175" t="n"/>
      <c r="AG11" s="176" t="n"/>
      <c r="AH11" s="23" t="n"/>
    </row>
    <row r="12" ht="18" customHeight="1" s="155">
      <c r="A12" s="53" t="inlineStr">
        <is>
          <t>【１単位目】</t>
        </is>
      </c>
      <c r="B12" s="52" t="n"/>
      <c r="C12" s="51" t="n"/>
      <c r="D12" s="171" t="n"/>
      <c r="E12" s="177" t="n"/>
      <c r="F12" s="177" t="n"/>
      <c r="G12" s="177" t="n"/>
      <c r="H12" s="177" t="n"/>
      <c r="I12" s="178" t="n"/>
      <c r="J12" s="179" t="n"/>
      <c r="K12" s="171" t="n"/>
      <c r="L12" s="177" t="n"/>
      <c r="M12" s="177" t="n"/>
      <c r="N12" s="177" t="n"/>
      <c r="O12" s="177" t="n"/>
      <c r="P12" s="178" t="n"/>
      <c r="Q12" s="179" t="n"/>
      <c r="R12" s="171" t="n"/>
      <c r="S12" s="177" t="n"/>
      <c r="T12" s="177" t="n"/>
      <c r="U12" s="177" t="n"/>
      <c r="V12" s="177" t="n"/>
      <c r="W12" s="178" t="n"/>
      <c r="X12" s="179" t="n"/>
      <c r="Y12" s="171" t="n"/>
      <c r="Z12" s="177" t="n"/>
      <c r="AA12" s="177" t="n"/>
      <c r="AB12" s="177" t="n"/>
      <c r="AC12" s="177" t="n"/>
      <c r="AD12" s="178" t="n"/>
      <c r="AE12" s="179" t="n"/>
      <c r="AF12" s="180" t="n"/>
      <c r="AG12" s="181" t="n"/>
      <c r="AH12" s="23" t="n"/>
    </row>
    <row r="13" ht="18" customHeight="1" s="155">
      <c r="A13" s="90" t="inlineStr">
        <is>
          <t>生活相談員</t>
        </is>
      </c>
      <c r="B13" s="89" t="n"/>
      <c r="C13" s="88" t="n"/>
      <c r="D13" s="182" t="n"/>
      <c r="E13" s="182" t="n"/>
      <c r="F13" s="182" t="n"/>
      <c r="G13" s="182" t="n"/>
      <c r="H13" s="182" t="n"/>
      <c r="I13" s="182" t="n"/>
      <c r="J13" s="183" t="n"/>
      <c r="K13" s="182" t="n"/>
      <c r="L13" s="182" t="n"/>
      <c r="M13" s="182" t="n"/>
      <c r="N13" s="182" t="n"/>
      <c r="O13" s="182" t="n"/>
      <c r="P13" s="182" t="n"/>
      <c r="Q13" s="183" t="n"/>
      <c r="R13" s="182" t="n"/>
      <c r="S13" s="182" t="n"/>
      <c r="T13" s="182" t="n"/>
      <c r="U13" s="182" t="n"/>
      <c r="V13" s="182" t="n"/>
      <c r="W13" s="182" t="n"/>
      <c r="X13" s="183" t="n"/>
      <c r="Y13" s="182" t="n"/>
      <c r="Z13" s="182" t="n"/>
      <c r="AA13" s="182" t="n"/>
      <c r="AB13" s="182" t="n"/>
      <c r="AC13" s="182" t="n"/>
      <c r="AD13" s="182" t="n"/>
      <c r="AE13" s="183" t="n"/>
      <c r="AF13" s="184">
        <f>SUM(D13:AE13)</f>
        <v/>
      </c>
      <c r="AG13" s="185">
        <f>SUM(AF13:AF14)/160</f>
        <v/>
      </c>
      <c r="AH13" s="23" t="n"/>
    </row>
    <row r="14" ht="18" customHeight="1" s="155">
      <c r="A14" s="90" t="n"/>
      <c r="B14" s="89" t="n"/>
      <c r="C14" s="88" t="n"/>
      <c r="D14" s="182" t="n"/>
      <c r="E14" s="182" t="n"/>
      <c r="F14" s="182" t="n"/>
      <c r="G14" s="182" t="n"/>
      <c r="H14" s="182" t="n"/>
      <c r="I14" s="186" t="n"/>
      <c r="J14" s="187" t="n"/>
      <c r="K14" s="182" t="n"/>
      <c r="L14" s="182" t="n"/>
      <c r="M14" s="182" t="n"/>
      <c r="N14" s="182" t="n"/>
      <c r="O14" s="182" t="n"/>
      <c r="P14" s="186" t="n"/>
      <c r="Q14" s="187" t="n"/>
      <c r="R14" s="182" t="n"/>
      <c r="S14" s="182" t="n"/>
      <c r="T14" s="182" t="n"/>
      <c r="U14" s="182" t="n"/>
      <c r="V14" s="182" t="n"/>
      <c r="W14" s="186" t="n"/>
      <c r="X14" s="187" t="n"/>
      <c r="Y14" s="182" t="n"/>
      <c r="Z14" s="182" t="n"/>
      <c r="AA14" s="182" t="n"/>
      <c r="AB14" s="182" t="n"/>
      <c r="AC14" s="182" t="n"/>
      <c r="AD14" s="186" t="n"/>
      <c r="AE14" s="187" t="n"/>
      <c r="AF14" s="184">
        <f>SUM(D14:AE14)</f>
        <v/>
      </c>
      <c r="AG14" s="188" t="n"/>
      <c r="AH14" s="23" t="n"/>
    </row>
    <row r="15" ht="18" customHeight="1" s="155">
      <c r="A15" s="77" t="inlineStr">
        <is>
          <t>介護職員</t>
        </is>
      </c>
      <c r="B15" s="76" t="n"/>
      <c r="C15" s="75" t="n"/>
      <c r="D15" s="189" t="n"/>
      <c r="E15" s="190" t="n"/>
      <c r="F15" s="190" t="n"/>
      <c r="G15" s="190" t="n"/>
      <c r="H15" s="190" t="n"/>
      <c r="I15" s="190" t="n"/>
      <c r="J15" s="191" t="n"/>
      <c r="K15" s="189" t="n"/>
      <c r="L15" s="190" t="n"/>
      <c r="M15" s="190" t="n"/>
      <c r="N15" s="190" t="n"/>
      <c r="O15" s="190" t="n"/>
      <c r="P15" s="190" t="n"/>
      <c r="Q15" s="191" t="n"/>
      <c r="R15" s="189" t="n"/>
      <c r="S15" s="190" t="n"/>
      <c r="T15" s="190" t="n"/>
      <c r="U15" s="190" t="n"/>
      <c r="V15" s="190" t="n"/>
      <c r="W15" s="190" t="n"/>
      <c r="X15" s="191" t="n"/>
      <c r="Y15" s="189" t="n"/>
      <c r="Z15" s="190" t="n"/>
      <c r="AA15" s="190" t="n"/>
      <c r="AB15" s="190" t="n"/>
      <c r="AC15" s="190" t="n"/>
      <c r="AD15" s="190" t="n"/>
      <c r="AE15" s="191" t="n"/>
      <c r="AF15" s="192">
        <f>SUM(D15:AE15)</f>
        <v/>
      </c>
      <c r="AG15" s="193">
        <f>SUM(AF15:AF22)/160</f>
        <v/>
      </c>
      <c r="AH15" s="23" t="n"/>
    </row>
    <row r="16" ht="18" customHeight="1" s="155">
      <c r="A16" s="77" t="n"/>
      <c r="B16" s="76" t="n"/>
      <c r="C16" s="75" t="n"/>
      <c r="D16" s="189" t="n"/>
      <c r="E16" s="190" t="n"/>
      <c r="F16" s="190" t="n"/>
      <c r="G16" s="190" t="n"/>
      <c r="H16" s="190" t="n"/>
      <c r="I16" s="190" t="n"/>
      <c r="J16" s="191" t="n"/>
      <c r="K16" s="189" t="n"/>
      <c r="L16" s="190" t="n"/>
      <c r="M16" s="190" t="n"/>
      <c r="N16" s="190" t="n"/>
      <c r="O16" s="190" t="n"/>
      <c r="P16" s="190" t="n"/>
      <c r="Q16" s="191" t="n"/>
      <c r="R16" s="189" t="n"/>
      <c r="S16" s="190" t="n"/>
      <c r="T16" s="190" t="n"/>
      <c r="U16" s="190" t="n"/>
      <c r="V16" s="190" t="n"/>
      <c r="W16" s="190" t="n"/>
      <c r="X16" s="191" t="n"/>
      <c r="Y16" s="189" t="n"/>
      <c r="Z16" s="190" t="n"/>
      <c r="AA16" s="190" t="n"/>
      <c r="AB16" s="190" t="n"/>
      <c r="AC16" s="190" t="n"/>
      <c r="AD16" s="190" t="n"/>
      <c r="AE16" s="191" t="n"/>
      <c r="AF16" s="192">
        <f>SUM(D16:AE16)</f>
        <v/>
      </c>
      <c r="AG16" s="188" t="n"/>
      <c r="AH16" s="23" t="n"/>
    </row>
    <row r="17" ht="18" customHeight="1" s="155">
      <c r="A17" s="77" t="n"/>
      <c r="B17" s="76" t="n"/>
      <c r="C17" s="75" t="n"/>
      <c r="D17" s="189" t="n"/>
      <c r="E17" s="190" t="n"/>
      <c r="F17" s="190" t="n"/>
      <c r="G17" s="190" t="n"/>
      <c r="H17" s="190" t="n"/>
      <c r="I17" s="190" t="n"/>
      <c r="J17" s="191" t="n"/>
      <c r="K17" s="189" t="n"/>
      <c r="L17" s="190" t="n"/>
      <c r="M17" s="190" t="n"/>
      <c r="N17" s="190" t="n"/>
      <c r="O17" s="190" t="n"/>
      <c r="P17" s="190" t="n"/>
      <c r="Q17" s="191" t="n"/>
      <c r="R17" s="189" t="n"/>
      <c r="S17" s="190" t="n"/>
      <c r="T17" s="190" t="n"/>
      <c r="U17" s="190" t="n"/>
      <c r="V17" s="190" t="n"/>
      <c r="W17" s="190" t="n"/>
      <c r="X17" s="191" t="n"/>
      <c r="Y17" s="189" t="n"/>
      <c r="Z17" s="190" t="n"/>
      <c r="AA17" s="190" t="n"/>
      <c r="AB17" s="190" t="n"/>
      <c r="AC17" s="190" t="n"/>
      <c r="AD17" s="190" t="n"/>
      <c r="AE17" s="191" t="n"/>
      <c r="AF17" s="192">
        <f>SUM(D17:AE17)</f>
        <v/>
      </c>
      <c r="AG17" s="188" t="n"/>
      <c r="AH17" s="23" t="n"/>
    </row>
    <row r="18" ht="18" customHeight="1" s="155">
      <c r="A18" s="77" t="n"/>
      <c r="B18" s="76" t="n"/>
      <c r="C18" s="75" t="n"/>
      <c r="D18" s="189" t="n"/>
      <c r="E18" s="190" t="n"/>
      <c r="F18" s="190" t="n"/>
      <c r="G18" s="190" t="n"/>
      <c r="H18" s="190" t="n"/>
      <c r="I18" s="190" t="n"/>
      <c r="J18" s="191" t="n"/>
      <c r="K18" s="189" t="n"/>
      <c r="L18" s="190" t="n"/>
      <c r="M18" s="190" t="n"/>
      <c r="N18" s="190" t="n"/>
      <c r="O18" s="190" t="n"/>
      <c r="P18" s="190" t="n"/>
      <c r="Q18" s="191" t="n"/>
      <c r="R18" s="189" t="n"/>
      <c r="S18" s="190" t="n"/>
      <c r="T18" s="190" t="n"/>
      <c r="U18" s="190" t="n"/>
      <c r="V18" s="190" t="n"/>
      <c r="W18" s="190" t="n"/>
      <c r="X18" s="191" t="n"/>
      <c r="Y18" s="189" t="n"/>
      <c r="Z18" s="190" t="n"/>
      <c r="AA18" s="190" t="n"/>
      <c r="AB18" s="190" t="n"/>
      <c r="AC18" s="190" t="n"/>
      <c r="AD18" s="190" t="n"/>
      <c r="AE18" s="191" t="n"/>
      <c r="AF18" s="192">
        <f>SUM(D18:AE18)</f>
        <v/>
      </c>
      <c r="AG18" s="188" t="n"/>
      <c r="AH18" s="23" t="n"/>
    </row>
    <row r="19" ht="18" customHeight="1" s="155">
      <c r="A19" s="77" t="n"/>
      <c r="B19" s="76" t="n"/>
      <c r="C19" s="75" t="n"/>
      <c r="D19" s="189" t="n"/>
      <c r="E19" s="190" t="n"/>
      <c r="F19" s="190" t="n"/>
      <c r="G19" s="190" t="n"/>
      <c r="H19" s="190" t="n"/>
      <c r="I19" s="190" t="n"/>
      <c r="J19" s="191" t="n"/>
      <c r="K19" s="189" t="n"/>
      <c r="L19" s="190" t="n"/>
      <c r="M19" s="190" t="n"/>
      <c r="N19" s="190" t="n"/>
      <c r="O19" s="190" t="n"/>
      <c r="P19" s="190" t="n"/>
      <c r="Q19" s="191" t="n"/>
      <c r="R19" s="189" t="n"/>
      <c r="S19" s="190" t="n"/>
      <c r="T19" s="190" t="n"/>
      <c r="U19" s="190" t="n"/>
      <c r="V19" s="190" t="n"/>
      <c r="W19" s="190" t="n"/>
      <c r="X19" s="191" t="n"/>
      <c r="Y19" s="189" t="n"/>
      <c r="Z19" s="190" t="n"/>
      <c r="AA19" s="190" t="n"/>
      <c r="AB19" s="190" t="n"/>
      <c r="AC19" s="190" t="n"/>
      <c r="AD19" s="190" t="n"/>
      <c r="AE19" s="191" t="n"/>
      <c r="AF19" s="192">
        <f>SUM(D19:AE19)</f>
        <v/>
      </c>
      <c r="AG19" s="188" t="n"/>
      <c r="AH19" s="23" t="n"/>
    </row>
    <row r="20" ht="18" customHeight="1" s="155">
      <c r="A20" s="77" t="n"/>
      <c r="B20" s="76" t="n"/>
      <c r="C20" s="75" t="n"/>
      <c r="D20" s="189" t="n"/>
      <c r="E20" s="190" t="n"/>
      <c r="F20" s="190" t="n"/>
      <c r="G20" s="190" t="n"/>
      <c r="H20" s="190" t="n"/>
      <c r="I20" s="190" t="n"/>
      <c r="J20" s="191" t="n"/>
      <c r="K20" s="189" t="n"/>
      <c r="L20" s="190" t="n"/>
      <c r="M20" s="190" t="n"/>
      <c r="N20" s="190" t="n"/>
      <c r="O20" s="190" t="n"/>
      <c r="P20" s="190" t="n"/>
      <c r="Q20" s="191" t="n"/>
      <c r="R20" s="189" t="n"/>
      <c r="S20" s="190" t="n"/>
      <c r="T20" s="190" t="n"/>
      <c r="U20" s="190" t="n"/>
      <c r="V20" s="190" t="n"/>
      <c r="W20" s="190" t="n"/>
      <c r="X20" s="191" t="n"/>
      <c r="Y20" s="189" t="n"/>
      <c r="Z20" s="190" t="n"/>
      <c r="AA20" s="190" t="n"/>
      <c r="AB20" s="190" t="n"/>
      <c r="AC20" s="190" t="n"/>
      <c r="AD20" s="190" t="n"/>
      <c r="AE20" s="191" t="n"/>
      <c r="AF20" s="192">
        <f>SUM(D20:AE20)</f>
        <v/>
      </c>
      <c r="AG20" s="188" t="n"/>
      <c r="AH20" s="23" t="n"/>
    </row>
    <row r="21" ht="18" customHeight="1" s="155">
      <c r="A21" s="77" t="inlineStr">
        <is>
          <t>看護職員</t>
        </is>
      </c>
      <c r="B21" s="76" t="n"/>
      <c r="C21" s="75" t="n"/>
      <c r="D21" s="194" t="n"/>
      <c r="E21" s="195" t="n"/>
      <c r="F21" s="195" t="n"/>
      <c r="G21" s="195" t="n"/>
      <c r="H21" s="195" t="n"/>
      <c r="I21" s="195" t="n"/>
      <c r="J21" s="196" t="n"/>
      <c r="K21" s="194" t="n"/>
      <c r="L21" s="195" t="n"/>
      <c r="M21" s="195" t="n"/>
      <c r="N21" s="195" t="n"/>
      <c r="O21" s="195" t="n"/>
      <c r="P21" s="195" t="n"/>
      <c r="Q21" s="196" t="n"/>
      <c r="R21" s="194" t="n"/>
      <c r="S21" s="195" t="n"/>
      <c r="T21" s="195" t="n"/>
      <c r="U21" s="195" t="n"/>
      <c r="V21" s="195" t="n"/>
      <c r="W21" s="195" t="n"/>
      <c r="X21" s="196" t="n"/>
      <c r="Y21" s="194" t="n"/>
      <c r="Z21" s="195" t="n"/>
      <c r="AA21" s="195" t="n"/>
      <c r="AB21" s="195" t="n"/>
      <c r="AC21" s="195" t="n"/>
      <c r="AD21" s="195" t="n"/>
      <c r="AE21" s="196" t="n"/>
      <c r="AF21" s="192">
        <f>SUM(D21:AE21)</f>
        <v/>
      </c>
      <c r="AG21" s="188" t="n"/>
      <c r="AH21" s="23" t="n"/>
    </row>
    <row r="22" ht="18" customHeight="1" s="155">
      <c r="A22" s="77" t="n"/>
      <c r="B22" s="76" t="n"/>
      <c r="C22" s="75" t="n"/>
      <c r="D22" s="197" t="n"/>
      <c r="E22" s="198" t="n"/>
      <c r="F22" s="199" t="n"/>
      <c r="G22" s="199" t="n"/>
      <c r="H22" s="199" t="n"/>
      <c r="I22" s="190" t="n"/>
      <c r="J22" s="191" t="n"/>
      <c r="K22" s="197" t="n"/>
      <c r="L22" s="198" t="n"/>
      <c r="M22" s="199" t="n"/>
      <c r="N22" s="199" t="n"/>
      <c r="O22" s="199" t="n"/>
      <c r="P22" s="190" t="n"/>
      <c r="Q22" s="191" t="n"/>
      <c r="R22" s="197" t="n"/>
      <c r="S22" s="198" t="n"/>
      <c r="T22" s="199" t="n"/>
      <c r="U22" s="199" t="n"/>
      <c r="V22" s="199" t="n"/>
      <c r="W22" s="190" t="n"/>
      <c r="X22" s="191" t="n"/>
      <c r="Y22" s="197" t="n"/>
      <c r="Z22" s="198" t="n"/>
      <c r="AA22" s="199" t="n"/>
      <c r="AB22" s="199" t="n"/>
      <c r="AC22" s="199" t="n"/>
      <c r="AD22" s="190" t="n"/>
      <c r="AE22" s="191" t="n"/>
      <c r="AF22" s="192">
        <f>SUM(D22:AE22)</f>
        <v/>
      </c>
      <c r="AG22" s="188" t="n"/>
      <c r="AH22" s="23" t="n"/>
    </row>
    <row r="23" ht="18" customHeight="1" s="155">
      <c r="A23" s="67" t="inlineStr">
        <is>
          <t>機能訓練指導員</t>
        </is>
      </c>
      <c r="B23" s="60" t="n"/>
      <c r="C23" s="59" t="n"/>
      <c r="D23" s="200" t="n"/>
      <c r="E23" s="201" t="n"/>
      <c r="F23" s="201" t="n"/>
      <c r="G23" s="201" t="n"/>
      <c r="H23" s="201" t="n"/>
      <c r="I23" s="201" t="n"/>
      <c r="J23" s="202" t="n"/>
      <c r="K23" s="200" t="n"/>
      <c r="L23" s="201" t="n"/>
      <c r="M23" s="201" t="n"/>
      <c r="N23" s="201" t="n"/>
      <c r="O23" s="201" t="n"/>
      <c r="P23" s="201" t="n"/>
      <c r="Q23" s="202" t="n"/>
      <c r="R23" s="200" t="n"/>
      <c r="S23" s="201" t="n"/>
      <c r="T23" s="201" t="n"/>
      <c r="U23" s="201" t="n"/>
      <c r="V23" s="201" t="n"/>
      <c r="W23" s="201" t="n"/>
      <c r="X23" s="202" t="n"/>
      <c r="Y23" s="200" t="n"/>
      <c r="Z23" s="201" t="n"/>
      <c r="AA23" s="201" t="n"/>
      <c r="AB23" s="201" t="n"/>
      <c r="AC23" s="201" t="n"/>
      <c r="AD23" s="201" t="n"/>
      <c r="AE23" s="202" t="n"/>
      <c r="AF23" s="203">
        <f>SUM(D23:AE23)</f>
        <v/>
      </c>
      <c r="AG23" s="204">
        <f>SUM(AF23:AF24)/160</f>
        <v/>
      </c>
      <c r="AH23" s="23" t="inlineStr">
        <is>
          <t>管理者と兼務</t>
        </is>
      </c>
    </row>
    <row r="24" ht="18" customHeight="1" s="155">
      <c r="A24" s="61" t="n"/>
      <c r="B24" s="60" t="n"/>
      <c r="C24" s="59" t="n"/>
      <c r="D24" s="205" t="n"/>
      <c r="E24" s="206" t="n"/>
      <c r="F24" s="206" t="n"/>
      <c r="G24" s="206" t="n"/>
      <c r="H24" s="206" t="n"/>
      <c r="I24" s="206" t="n"/>
      <c r="J24" s="207" t="n"/>
      <c r="K24" s="205" t="n"/>
      <c r="L24" s="206" t="n"/>
      <c r="M24" s="206" t="n"/>
      <c r="N24" s="206" t="n"/>
      <c r="O24" s="206" t="n"/>
      <c r="P24" s="206" t="n"/>
      <c r="Q24" s="207" t="n"/>
      <c r="R24" s="205" t="n"/>
      <c r="S24" s="206" t="n"/>
      <c r="T24" s="206" t="n"/>
      <c r="U24" s="206" t="n"/>
      <c r="V24" s="206" t="n"/>
      <c r="W24" s="206" t="n"/>
      <c r="X24" s="207" t="n"/>
      <c r="Y24" s="205" t="n"/>
      <c r="Z24" s="206" t="n"/>
      <c r="AA24" s="206" t="n"/>
      <c r="AB24" s="206" t="n"/>
      <c r="AC24" s="206" t="n"/>
      <c r="AD24" s="206" t="n"/>
      <c r="AE24" s="207" t="n"/>
      <c r="AF24" s="203">
        <f>SUM(D24:AE24)</f>
        <v/>
      </c>
      <c r="AG24" s="188" t="n"/>
      <c r="AH24" s="23" t="n"/>
    </row>
    <row r="25" ht="18" customHeight="1" s="155">
      <c r="A25" s="53" t="inlineStr">
        <is>
          <t>【２単位目】</t>
        </is>
      </c>
      <c r="B25" s="52" t="n"/>
      <c r="C25" s="51" t="n"/>
      <c r="D25" s="171" t="n"/>
      <c r="E25" s="177" t="n"/>
      <c r="F25" s="177" t="n"/>
      <c r="G25" s="177" t="n"/>
      <c r="H25" s="177" t="n"/>
      <c r="I25" s="178" t="n"/>
      <c r="J25" s="179" t="n"/>
      <c r="K25" s="171" t="n"/>
      <c r="L25" s="177" t="n"/>
      <c r="M25" s="177" t="n"/>
      <c r="N25" s="177" t="n"/>
      <c r="O25" s="177" t="n"/>
      <c r="P25" s="178" t="n"/>
      <c r="Q25" s="179" t="n"/>
      <c r="R25" s="171" t="n"/>
      <c r="S25" s="177" t="n"/>
      <c r="T25" s="177" t="n"/>
      <c r="U25" s="177" t="n"/>
      <c r="V25" s="177" t="n"/>
      <c r="W25" s="178" t="n"/>
      <c r="X25" s="179" t="n"/>
      <c r="Y25" s="171" t="n"/>
      <c r="Z25" s="177" t="n"/>
      <c r="AA25" s="177" t="n"/>
      <c r="AB25" s="177" t="n"/>
      <c r="AC25" s="177" t="n"/>
      <c r="AD25" s="178" t="n"/>
      <c r="AE25" s="179" t="n"/>
      <c r="AF25" s="180" t="n"/>
      <c r="AG25" s="181" t="n"/>
      <c r="AH25" s="23" t="n"/>
    </row>
    <row r="26" ht="18" customHeight="1" s="155">
      <c r="A26" s="90" t="inlineStr">
        <is>
          <t>生活相談員</t>
        </is>
      </c>
      <c r="B26" s="89" t="n"/>
      <c r="C26" s="153" t="n"/>
      <c r="D26" s="208" t="n"/>
      <c r="E26" s="209" t="n"/>
      <c r="F26" s="209" t="n"/>
      <c r="G26" s="209" t="n"/>
      <c r="H26" s="209" t="n"/>
      <c r="I26" s="210" t="n"/>
      <c r="J26" s="211" t="n"/>
      <c r="K26" s="208" t="n"/>
      <c r="L26" s="209" t="n"/>
      <c r="M26" s="209" t="n"/>
      <c r="N26" s="209" t="n"/>
      <c r="O26" s="209" t="n"/>
      <c r="P26" s="210" t="n"/>
      <c r="Q26" s="211" t="n"/>
      <c r="R26" s="208" t="n"/>
      <c r="S26" s="209" t="n"/>
      <c r="T26" s="209" t="n"/>
      <c r="U26" s="209" t="n"/>
      <c r="V26" s="209" t="n"/>
      <c r="W26" s="210" t="n"/>
      <c r="X26" s="211" t="n"/>
      <c r="Y26" s="208" t="n"/>
      <c r="Z26" s="209" t="n"/>
      <c r="AA26" s="209" t="n"/>
      <c r="AB26" s="209" t="n"/>
      <c r="AC26" s="209" t="n"/>
      <c r="AD26" s="210" t="n"/>
      <c r="AE26" s="211" t="n"/>
      <c r="AF26" s="212">
        <f>SUM(D26:AE26)</f>
        <v/>
      </c>
      <c r="AG26" s="213">
        <f>SUM(AF26:AF27)/160</f>
        <v/>
      </c>
      <c r="AH26" s="23" t="n"/>
    </row>
    <row r="27" ht="18" customHeight="1" s="155">
      <c r="A27" s="90" t="n"/>
      <c r="B27" s="89" t="n"/>
      <c r="C27" s="88" t="n"/>
      <c r="D27" s="208" t="n"/>
      <c r="E27" s="209" t="n"/>
      <c r="F27" s="209" t="n"/>
      <c r="G27" s="209" t="n"/>
      <c r="H27" s="209" t="n"/>
      <c r="I27" s="214" t="n"/>
      <c r="J27" s="211" t="n"/>
      <c r="K27" s="208" t="n"/>
      <c r="L27" s="209" t="n"/>
      <c r="M27" s="209" t="n"/>
      <c r="N27" s="209" t="n"/>
      <c r="O27" s="209" t="n"/>
      <c r="P27" s="214" t="n"/>
      <c r="Q27" s="211" t="n"/>
      <c r="R27" s="208" t="n"/>
      <c r="S27" s="209" t="n"/>
      <c r="T27" s="209" t="n"/>
      <c r="U27" s="209" t="n"/>
      <c r="V27" s="209" t="n"/>
      <c r="W27" s="214" t="n"/>
      <c r="X27" s="211" t="n"/>
      <c r="Y27" s="208" t="n"/>
      <c r="Z27" s="209" t="n"/>
      <c r="AA27" s="209" t="n"/>
      <c r="AB27" s="209" t="n"/>
      <c r="AC27" s="209" t="n"/>
      <c r="AD27" s="214" t="n"/>
      <c r="AE27" s="211" t="n"/>
      <c r="AF27" s="212">
        <f>SUM(D27:AE27)</f>
        <v/>
      </c>
      <c r="AG27" s="188" t="n"/>
      <c r="AH27" s="23" t="n"/>
    </row>
    <row r="28" ht="18" customHeight="1" s="155">
      <c r="A28" s="77" t="inlineStr">
        <is>
          <t>介護職員</t>
        </is>
      </c>
      <c r="B28" s="76" t="n"/>
      <c r="C28" s="75" t="n"/>
      <c r="D28" s="189" t="n"/>
      <c r="E28" s="190" t="n"/>
      <c r="F28" s="190" t="n"/>
      <c r="G28" s="190" t="n"/>
      <c r="H28" s="190" t="n"/>
      <c r="I28" s="190" t="n"/>
      <c r="J28" s="191" t="n"/>
      <c r="K28" s="189" t="n"/>
      <c r="L28" s="190" t="n"/>
      <c r="M28" s="190" t="n"/>
      <c r="N28" s="190" t="n"/>
      <c r="O28" s="190" t="n"/>
      <c r="P28" s="190" t="n"/>
      <c r="Q28" s="191" t="n"/>
      <c r="R28" s="189" t="n"/>
      <c r="S28" s="190" t="n"/>
      <c r="T28" s="190" t="n"/>
      <c r="U28" s="190" t="n"/>
      <c r="V28" s="190" t="n"/>
      <c r="W28" s="190" t="n"/>
      <c r="X28" s="191" t="n"/>
      <c r="Y28" s="189" t="n"/>
      <c r="Z28" s="190" t="n"/>
      <c r="AA28" s="190" t="n"/>
      <c r="AB28" s="190" t="n"/>
      <c r="AC28" s="190" t="n"/>
      <c r="AD28" s="190" t="n"/>
      <c r="AE28" s="191" t="n"/>
      <c r="AF28" s="192">
        <f>SUM(D28:AE28)</f>
        <v/>
      </c>
      <c r="AG28" s="193">
        <f>SUM(AF28:AF35)/160</f>
        <v/>
      </c>
      <c r="AH28" s="23" t="n"/>
    </row>
    <row r="29" ht="18" customHeight="1" s="155">
      <c r="A29" s="77" t="n"/>
      <c r="B29" s="76" t="n"/>
      <c r="C29" s="75" t="n"/>
      <c r="D29" s="189" t="n"/>
      <c r="E29" s="190" t="n"/>
      <c r="F29" s="190" t="n"/>
      <c r="G29" s="190" t="n"/>
      <c r="H29" s="190" t="n"/>
      <c r="I29" s="190" t="n"/>
      <c r="J29" s="191" t="n"/>
      <c r="K29" s="189" t="n"/>
      <c r="L29" s="190" t="n"/>
      <c r="M29" s="190" t="n"/>
      <c r="N29" s="190" t="n"/>
      <c r="O29" s="190" t="n"/>
      <c r="P29" s="190" t="n"/>
      <c r="Q29" s="191" t="n"/>
      <c r="R29" s="189" t="n"/>
      <c r="S29" s="190" t="n"/>
      <c r="T29" s="190" t="n"/>
      <c r="U29" s="190" t="n"/>
      <c r="V29" s="190" t="n"/>
      <c r="W29" s="190" t="n"/>
      <c r="X29" s="191" t="n"/>
      <c r="Y29" s="189" t="n"/>
      <c r="Z29" s="190" t="n"/>
      <c r="AA29" s="190" t="n"/>
      <c r="AB29" s="190" t="n"/>
      <c r="AC29" s="190" t="n"/>
      <c r="AD29" s="190" t="n"/>
      <c r="AE29" s="191" t="n"/>
      <c r="AF29" s="192">
        <f>SUM(D29:AE29)</f>
        <v/>
      </c>
      <c r="AG29" s="188" t="n"/>
      <c r="AH29" s="23" t="n"/>
    </row>
    <row r="30" ht="18" customHeight="1" s="155">
      <c r="A30" s="77" t="n"/>
      <c r="B30" s="76" t="n"/>
      <c r="C30" s="75" t="n"/>
      <c r="D30" s="189" t="n"/>
      <c r="E30" s="190" t="n"/>
      <c r="F30" s="190" t="n"/>
      <c r="G30" s="190" t="n"/>
      <c r="H30" s="190" t="n"/>
      <c r="I30" s="190" t="n"/>
      <c r="J30" s="191" t="n"/>
      <c r="K30" s="189" t="n"/>
      <c r="L30" s="190" t="n"/>
      <c r="M30" s="190" t="n"/>
      <c r="N30" s="190" t="n"/>
      <c r="O30" s="190" t="n"/>
      <c r="P30" s="190" t="n"/>
      <c r="Q30" s="191" t="n"/>
      <c r="R30" s="189" t="n"/>
      <c r="S30" s="190" t="n"/>
      <c r="T30" s="190" t="n"/>
      <c r="U30" s="190" t="n"/>
      <c r="V30" s="190" t="n"/>
      <c r="W30" s="190" t="n"/>
      <c r="X30" s="191" t="n"/>
      <c r="Y30" s="189" t="n"/>
      <c r="Z30" s="190" t="n"/>
      <c r="AA30" s="190" t="n"/>
      <c r="AB30" s="190" t="n"/>
      <c r="AC30" s="190" t="n"/>
      <c r="AD30" s="190" t="n"/>
      <c r="AE30" s="191" t="n"/>
      <c r="AF30" s="192">
        <f>SUM(D30:AE30)</f>
        <v/>
      </c>
      <c r="AG30" s="188" t="n"/>
      <c r="AH30" s="23" t="n"/>
    </row>
    <row r="31" ht="18" customHeight="1" s="155">
      <c r="A31" s="77" t="n"/>
      <c r="B31" s="76" t="n"/>
      <c r="C31" s="75" t="n"/>
      <c r="D31" s="189" t="n"/>
      <c r="E31" s="190" t="n"/>
      <c r="F31" s="190" t="n"/>
      <c r="G31" s="190" t="n"/>
      <c r="H31" s="190" t="n"/>
      <c r="I31" s="190" t="n"/>
      <c r="J31" s="191" t="n"/>
      <c r="K31" s="189" t="n"/>
      <c r="L31" s="190" t="n"/>
      <c r="M31" s="190" t="n"/>
      <c r="N31" s="190" t="n"/>
      <c r="O31" s="190" t="n"/>
      <c r="P31" s="190" t="n"/>
      <c r="Q31" s="191" t="n"/>
      <c r="R31" s="189" t="n"/>
      <c r="S31" s="190" t="n"/>
      <c r="T31" s="190" t="n"/>
      <c r="U31" s="190" t="n"/>
      <c r="V31" s="190" t="n"/>
      <c r="W31" s="190" t="n"/>
      <c r="X31" s="191" t="n"/>
      <c r="Y31" s="189" t="n"/>
      <c r="Z31" s="190" t="n"/>
      <c r="AA31" s="190" t="n"/>
      <c r="AB31" s="190" t="n"/>
      <c r="AC31" s="190" t="n"/>
      <c r="AD31" s="190" t="n"/>
      <c r="AE31" s="191" t="n"/>
      <c r="AF31" s="192">
        <f>SUM(D31:AE31)</f>
        <v/>
      </c>
      <c r="AG31" s="188" t="n"/>
      <c r="AH31" s="23" t="n"/>
    </row>
    <row r="32" ht="18" customHeight="1" s="155">
      <c r="A32" s="77" t="n"/>
      <c r="B32" s="76" t="n"/>
      <c r="C32" s="75" t="n"/>
      <c r="D32" s="189" t="n"/>
      <c r="E32" s="190" t="n"/>
      <c r="F32" s="190" t="n"/>
      <c r="G32" s="190" t="n"/>
      <c r="H32" s="190" t="n"/>
      <c r="I32" s="190" t="n"/>
      <c r="J32" s="191" t="n"/>
      <c r="K32" s="189" t="n"/>
      <c r="L32" s="190" t="n"/>
      <c r="M32" s="190" t="n"/>
      <c r="N32" s="190" t="n"/>
      <c r="O32" s="190" t="n"/>
      <c r="P32" s="190" t="n"/>
      <c r="Q32" s="191" t="n"/>
      <c r="R32" s="189" t="n"/>
      <c r="S32" s="190" t="n"/>
      <c r="T32" s="190" t="n"/>
      <c r="U32" s="190" t="n"/>
      <c r="V32" s="190" t="n"/>
      <c r="W32" s="190" t="n"/>
      <c r="X32" s="191" t="n"/>
      <c r="Y32" s="189" t="n"/>
      <c r="Z32" s="190" t="n"/>
      <c r="AA32" s="190" t="n"/>
      <c r="AB32" s="190" t="n"/>
      <c r="AC32" s="190" t="n"/>
      <c r="AD32" s="190" t="n"/>
      <c r="AE32" s="191" t="n"/>
      <c r="AF32" s="192">
        <f>SUM(D32:AE32)</f>
        <v/>
      </c>
      <c r="AG32" s="188" t="n"/>
      <c r="AH32" s="23" t="n"/>
    </row>
    <row r="33" ht="18" customHeight="1" s="155">
      <c r="A33" s="77" t="n"/>
      <c r="B33" s="76" t="n"/>
      <c r="C33" s="75" t="n"/>
      <c r="D33" s="194" t="n"/>
      <c r="E33" s="195" t="n"/>
      <c r="F33" s="195" t="n"/>
      <c r="G33" s="195" t="n"/>
      <c r="H33" s="195" t="n"/>
      <c r="I33" s="195" t="n"/>
      <c r="J33" s="196" t="n"/>
      <c r="K33" s="194" t="n"/>
      <c r="L33" s="195" t="n"/>
      <c r="M33" s="195" t="n"/>
      <c r="N33" s="195" t="n"/>
      <c r="O33" s="195" t="n"/>
      <c r="P33" s="195" t="n"/>
      <c r="Q33" s="196" t="n"/>
      <c r="R33" s="194" t="n"/>
      <c r="S33" s="195" t="n"/>
      <c r="T33" s="195" t="n"/>
      <c r="U33" s="195" t="n"/>
      <c r="V33" s="195" t="n"/>
      <c r="W33" s="195" t="n"/>
      <c r="X33" s="196" t="n"/>
      <c r="Y33" s="194" t="n"/>
      <c r="Z33" s="195" t="n"/>
      <c r="AA33" s="195" t="n"/>
      <c r="AB33" s="195" t="n"/>
      <c r="AC33" s="195" t="n"/>
      <c r="AD33" s="195" t="n"/>
      <c r="AE33" s="196" t="n"/>
      <c r="AF33" s="192">
        <f>SUM(D33:AE33)</f>
        <v/>
      </c>
      <c r="AG33" s="188" t="n"/>
      <c r="AH33" s="23" t="n"/>
    </row>
    <row r="34" ht="18" customHeight="1" s="155">
      <c r="A34" s="77" t="inlineStr">
        <is>
          <t>看護職員</t>
        </is>
      </c>
      <c r="B34" s="76" t="n"/>
      <c r="C34" s="75" t="n"/>
      <c r="D34" s="189" t="n"/>
      <c r="E34" s="190" t="n"/>
      <c r="F34" s="190" t="n"/>
      <c r="G34" s="190" t="n"/>
      <c r="H34" s="195" t="n"/>
      <c r="I34" s="190" t="n"/>
      <c r="J34" s="191" t="n"/>
      <c r="K34" s="189" t="n"/>
      <c r="L34" s="190" t="n"/>
      <c r="M34" s="190" t="n"/>
      <c r="N34" s="190" t="n"/>
      <c r="O34" s="195" t="n"/>
      <c r="P34" s="190" t="n"/>
      <c r="Q34" s="191" t="n"/>
      <c r="R34" s="189" t="n"/>
      <c r="S34" s="190" t="n"/>
      <c r="T34" s="190" t="n"/>
      <c r="U34" s="190" t="n"/>
      <c r="V34" s="195" t="n"/>
      <c r="W34" s="190" t="n"/>
      <c r="X34" s="191" t="n"/>
      <c r="Y34" s="189" t="n"/>
      <c r="Z34" s="190" t="n"/>
      <c r="AA34" s="190" t="n"/>
      <c r="AB34" s="190" t="n"/>
      <c r="AC34" s="195" t="n"/>
      <c r="AD34" s="190" t="n"/>
      <c r="AE34" s="191" t="n"/>
      <c r="AF34" s="192">
        <f>SUM(D34:AE34)</f>
        <v/>
      </c>
      <c r="AG34" s="188" t="n"/>
      <c r="AH34" s="23" t="n"/>
    </row>
    <row r="35" ht="18" customHeight="1" s="155">
      <c r="A35" s="77" t="n"/>
      <c r="B35" s="76" t="n"/>
      <c r="C35" s="75" t="n"/>
      <c r="D35" s="189" t="n"/>
      <c r="E35" s="190" t="n"/>
      <c r="F35" s="190" t="n"/>
      <c r="G35" s="190" t="n"/>
      <c r="H35" s="190" t="n"/>
      <c r="I35" s="190" t="n"/>
      <c r="J35" s="191" t="n"/>
      <c r="K35" s="189" t="n"/>
      <c r="L35" s="190" t="n"/>
      <c r="M35" s="190" t="n"/>
      <c r="N35" s="190" t="n"/>
      <c r="O35" s="190" t="n"/>
      <c r="P35" s="190" t="n"/>
      <c r="Q35" s="191" t="n"/>
      <c r="R35" s="189" t="n"/>
      <c r="S35" s="190" t="n"/>
      <c r="T35" s="190" t="n"/>
      <c r="U35" s="190" t="n"/>
      <c r="V35" s="190" t="n"/>
      <c r="W35" s="190" t="n"/>
      <c r="X35" s="191" t="n"/>
      <c r="Y35" s="189" t="n"/>
      <c r="Z35" s="190" t="n"/>
      <c r="AA35" s="190" t="n"/>
      <c r="AB35" s="190" t="n"/>
      <c r="AC35" s="190" t="n"/>
      <c r="AD35" s="190" t="n"/>
      <c r="AE35" s="191" t="n"/>
      <c r="AF35" s="192">
        <f>SUM(D35:AE35)</f>
        <v/>
      </c>
      <c r="AG35" s="188" t="n"/>
      <c r="AH35" s="23" t="n"/>
    </row>
    <row r="36" ht="18" customHeight="1" s="155">
      <c r="A36" s="67" t="inlineStr">
        <is>
          <t>機能訓練指導員</t>
        </is>
      </c>
      <c r="B36" s="60" t="n"/>
      <c r="C36" s="59" t="n"/>
      <c r="D36" s="205" t="n"/>
      <c r="E36" s="206" t="n"/>
      <c r="F36" s="206" t="n"/>
      <c r="G36" s="206" t="n"/>
      <c r="H36" s="206" t="n"/>
      <c r="I36" s="206" t="n"/>
      <c r="J36" s="207" t="n"/>
      <c r="K36" s="205" t="n"/>
      <c r="L36" s="206" t="n"/>
      <c r="M36" s="206" t="n"/>
      <c r="N36" s="206" t="n"/>
      <c r="O36" s="206" t="n"/>
      <c r="P36" s="206" t="n"/>
      <c r="Q36" s="207" t="n"/>
      <c r="R36" s="205" t="n"/>
      <c r="S36" s="206" t="n"/>
      <c r="T36" s="206" t="n"/>
      <c r="U36" s="206" t="n"/>
      <c r="V36" s="206" t="n"/>
      <c r="W36" s="206" t="n"/>
      <c r="X36" s="207" t="n"/>
      <c r="Y36" s="205" t="n"/>
      <c r="Z36" s="206" t="n"/>
      <c r="AA36" s="206" t="n"/>
      <c r="AB36" s="206" t="n"/>
      <c r="AC36" s="206" t="n"/>
      <c r="AD36" s="206" t="n"/>
      <c r="AE36" s="207" t="n"/>
      <c r="AF36" s="203">
        <f>SUM(D36:AE36)</f>
        <v/>
      </c>
      <c r="AG36" s="204">
        <f>SUM(AF36:AF37)/160</f>
        <v/>
      </c>
      <c r="AH36" s="23" t="inlineStr">
        <is>
          <t>管理者と兼務</t>
        </is>
      </c>
    </row>
    <row r="37" ht="18" customHeight="1" s="155" thickBot="1">
      <c r="A37" s="142" t="n"/>
      <c r="B37" s="141" t="n"/>
      <c r="C37" s="140" t="n"/>
      <c r="D37" s="215" t="n"/>
      <c r="E37" s="216" t="n"/>
      <c r="F37" s="216" t="n"/>
      <c r="G37" s="216" t="n"/>
      <c r="H37" s="216" t="n"/>
      <c r="I37" s="216" t="n"/>
      <c r="J37" s="217" t="n"/>
      <c r="K37" s="215" t="n"/>
      <c r="L37" s="216" t="n"/>
      <c r="M37" s="216" t="n"/>
      <c r="N37" s="216" t="n"/>
      <c r="O37" s="216" t="n"/>
      <c r="P37" s="216" t="n"/>
      <c r="Q37" s="217" t="n"/>
      <c r="R37" s="215" t="n"/>
      <c r="S37" s="216" t="n"/>
      <c r="T37" s="216" t="n"/>
      <c r="U37" s="216" t="n"/>
      <c r="V37" s="216" t="n"/>
      <c r="W37" s="216" t="n"/>
      <c r="X37" s="217" t="n"/>
      <c r="Y37" s="215" t="n"/>
      <c r="Z37" s="216" t="n"/>
      <c r="AA37" s="216" t="n"/>
      <c r="AB37" s="216" t="n"/>
      <c r="AC37" s="216" t="n"/>
      <c r="AD37" s="216" t="n"/>
      <c r="AE37" s="217" t="n"/>
      <c r="AF37" s="218">
        <f>SUM(D37:AE37)</f>
        <v/>
      </c>
      <c r="AG37" s="219" t="n"/>
      <c r="AH37" s="13" t="n"/>
    </row>
    <row r="38" ht="18" customHeight="1" s="155">
      <c r="A38" s="1" t="inlineStr">
        <is>
          <t xml:space="preserve">　           ２　申請する事業に係る従業者全員（管理者を含む。）について、４週間分の勤務すべき時間数を記入してください。</t>
        </is>
      </c>
    </row>
    <row r="39" ht="18" customHeight="1" s="155">
      <c r="A39" s="1" t="inlineStr">
        <is>
          <t xml:space="preserve">　 　        ３　職種ごとに下記の勤務形態の区分の順にまとめて記載してください。</t>
        </is>
      </c>
    </row>
    <row r="40" ht="18" customHeight="1" s="155">
      <c r="A40" s="12" t="inlineStr">
        <is>
          <t xml:space="preserve">               勤務形態の区分　Ａ：常勤で専従　Ｂ：常勤で兼務　Ｃ：常勤以外で専従　Ｄ：常勤以外で兼務</t>
        </is>
      </c>
      <c r="B40" s="11" t="n"/>
      <c r="C40" s="11" t="n"/>
    </row>
    <row r="41" ht="18" customHeight="1" s="155">
      <c r="A41" s="10" t="inlineStr">
        <is>
          <t>常勤</t>
        </is>
      </c>
      <c r="B41" s="220" t="inlineStr">
        <is>
          <t>正規職員、パート、派遣など雇用形態にかかわらず、「常勤職員の勤務時間数」を勤務する場合はすべて常勤。</t>
        </is>
      </c>
      <c r="C41" s="221" t="n"/>
      <c r="D41" s="221" t="n"/>
      <c r="E41" s="221" t="n"/>
      <c r="F41" s="221" t="n"/>
      <c r="G41" s="221" t="n"/>
      <c r="H41" s="221" t="n"/>
      <c r="I41" s="221" t="n"/>
      <c r="J41" s="221" t="n"/>
      <c r="K41" s="221" t="n"/>
      <c r="L41" s="221" t="n"/>
      <c r="M41" s="221" t="n"/>
      <c r="N41" s="221" t="n"/>
      <c r="O41" s="221" t="n"/>
      <c r="P41" s="221" t="n"/>
      <c r="Q41" s="221" t="n"/>
      <c r="R41" s="221" t="n"/>
      <c r="S41" s="221" t="n"/>
      <c r="T41" s="221" t="n"/>
      <c r="U41" s="221" t="n"/>
      <c r="V41" s="221" t="n"/>
      <c r="W41" s="221" t="n"/>
      <c r="X41" s="221" t="n"/>
      <c r="Y41" s="221" t="n"/>
      <c r="Z41" s="221" t="n"/>
      <c r="AA41" s="221" t="n"/>
      <c r="AB41" s="221" t="n"/>
      <c r="AC41" s="221" t="n"/>
      <c r="AD41" s="221" t="n"/>
      <c r="AE41" s="221" t="n"/>
      <c r="AF41" s="221" t="n"/>
      <c r="AG41" s="221" t="n"/>
      <c r="AH41" s="222" t="n"/>
    </row>
    <row r="42" ht="18" customHeight="1" s="155">
      <c r="A42" s="6" t="inlineStr">
        <is>
          <t>非常勤</t>
        </is>
      </c>
      <c r="B42" s="223" t="inlineStr">
        <is>
          <t>この事業所における勤務時間が、「常勤職員の勤務時間数」に満たない場合は、非常勤。正規職員であっても同一法人の同一敷地内にない他の事業所を兼務している場合などは、非常勤。</t>
        </is>
      </c>
      <c r="C42" s="221" t="n"/>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2" t="n"/>
    </row>
    <row r="43" ht="18" customHeight="1" s="155">
      <c r="A43" s="6" t="inlineStr">
        <is>
          <t>専従</t>
        </is>
      </c>
      <c r="B43" s="223" t="inlineStr">
        <is>
          <t>当該事業所の他の職種に従事せず、同一敷地内の同一法人が経営する他の事業所の職務に従事していない場合。</t>
        </is>
      </c>
      <c r="C43" s="221" t="n"/>
      <c r="D43" s="221" t="n"/>
      <c r="E43" s="221" t="n"/>
      <c r="F43" s="221" t="n"/>
      <c r="G43" s="221" t="n"/>
      <c r="H43" s="221" t="n"/>
      <c r="I43" s="221" t="n"/>
      <c r="J43" s="221" t="n"/>
      <c r="K43" s="221" t="n"/>
      <c r="L43" s="221" t="n"/>
      <c r="M43" s="221" t="n"/>
      <c r="N43" s="221" t="n"/>
      <c r="O43" s="221" t="n"/>
      <c r="P43" s="221" t="n"/>
      <c r="Q43" s="221" t="n"/>
      <c r="R43" s="221" t="n"/>
      <c r="S43" s="221" t="n"/>
      <c r="T43" s="221" t="n"/>
      <c r="U43" s="221" t="n"/>
      <c r="V43" s="221" t="n"/>
      <c r="W43" s="221" t="n"/>
      <c r="X43" s="221" t="n"/>
      <c r="Y43" s="221" t="n"/>
      <c r="Z43" s="221" t="n"/>
      <c r="AA43" s="221" t="n"/>
      <c r="AB43" s="221" t="n"/>
      <c r="AC43" s="221" t="n"/>
      <c r="AD43" s="221" t="n"/>
      <c r="AE43" s="221" t="n"/>
      <c r="AF43" s="221" t="n"/>
      <c r="AG43" s="221" t="n"/>
      <c r="AH43" s="222" t="n"/>
    </row>
    <row r="44" ht="18" customHeight="1" s="155">
      <c r="A44" s="6" t="inlineStr">
        <is>
          <t>兼務</t>
        </is>
      </c>
      <c r="B44" s="223" t="inlineStr">
        <is>
          <t>当該事業所の他の職種又は同一敷地内の同一法人が経営する他の事業所の職務に従事している場合。</t>
        </is>
      </c>
      <c r="C44" s="221" t="n"/>
      <c r="D44" s="221" t="n"/>
      <c r="E44" s="221" t="n"/>
      <c r="F44" s="221" t="n"/>
      <c r="G44" s="221" t="n"/>
      <c r="H44" s="221" t="n"/>
      <c r="I44" s="221" t="n"/>
      <c r="J44" s="221" t="n"/>
      <c r="K44" s="221" t="n"/>
      <c r="L44" s="221" t="n"/>
      <c r="M44" s="221" t="n"/>
      <c r="N44" s="221" t="n"/>
      <c r="O44" s="221" t="n"/>
      <c r="P44" s="221" t="n"/>
      <c r="Q44" s="221" t="n"/>
      <c r="R44" s="221" t="n"/>
      <c r="S44" s="221" t="n"/>
      <c r="T44" s="221" t="n"/>
      <c r="U44" s="221" t="n"/>
      <c r="V44" s="221" t="n"/>
      <c r="W44" s="221" t="n"/>
      <c r="X44" s="221" t="n"/>
      <c r="Y44" s="221" t="n"/>
      <c r="Z44" s="221" t="n"/>
      <c r="AA44" s="221" t="n"/>
      <c r="AB44" s="221" t="n"/>
      <c r="AC44" s="221" t="n"/>
      <c r="AD44" s="221" t="n"/>
      <c r="AE44" s="221" t="n"/>
      <c r="AF44" s="221" t="n"/>
      <c r="AG44" s="221" t="n"/>
      <c r="AH44" s="222" t="n"/>
    </row>
    <row r="45" ht="18" customHeight="1" s="155">
      <c r="A45" s="1" t="inlineStr">
        <is>
          <t xml:space="preserve">　　　      ４　常勤換算が必要な職種は、常勤の従業者が４週に勤務すべき時間数で割って、「常勤換算後の人数」を算出してください。</t>
        </is>
      </c>
    </row>
    <row r="46" ht="18" customHeight="1" s="155">
      <c r="A46" s="2" t="inlineStr">
        <is>
          <t xml:space="preserve">　　  　    ５　算出にあたっては、小数点以下第２位を切り捨ててください。</t>
        </is>
      </c>
    </row>
    <row r="47" ht="18" customHeight="1" s="155">
      <c r="A47" s="1" t="inlineStr">
        <is>
          <t xml:space="preserve">　　  　    ６　１０名未満で就業規則を作成していない場合は、常勤の勤務時間を定めて記入してください。</t>
        </is>
      </c>
      <c r="AH47" s="1" t="inlineStr">
        <is>
          <t>（日本工業規格Ａ列４番）</t>
        </is>
      </c>
    </row>
    <row r="48" ht="18" customHeight="1" s="155"/>
  </sheetData>
  <mergeCells count="15">
    <mergeCell ref="AG36:AG37"/>
    <mergeCell ref="B41:AH41"/>
    <mergeCell ref="AG28:AG35"/>
    <mergeCell ref="B44:AH44"/>
    <mergeCell ref="B43:AH43"/>
    <mergeCell ref="D7:J7"/>
    <mergeCell ref="AG13:AG14"/>
    <mergeCell ref="K7:Q7"/>
    <mergeCell ref="Y7:AE7"/>
    <mergeCell ref="A46:AH46"/>
    <mergeCell ref="R7:X7"/>
    <mergeCell ref="AG23:AG24"/>
    <mergeCell ref="B42:AH42"/>
    <mergeCell ref="AG15:AG22"/>
    <mergeCell ref="AG26:AG27"/>
  </mergeCells>
  <printOptions horizontalCentered="1" verticalCentered="1"/>
  <pageMargins left="0.7900000000000001" right="0.7900000000000001" top="0.3900000000000001" bottom="0" header="0.51" footer="0.24"/>
  <pageSetup orientation="landscape" paperSize="9" scale="69"/>
</worksheet>
</file>

<file path=xl/worksheets/sheet3.xml><?xml version="1.0" encoding="utf-8"?>
<worksheet xmlns="http://schemas.openxmlformats.org/spreadsheetml/2006/main">
  <sheetPr>
    <tabColor indexed="14"/>
    <outlinePr summaryBelow="1" summaryRight="1"/>
    <pageSetUpPr fitToPage="1"/>
  </sheetPr>
  <dimension ref="A1:AH47"/>
  <sheetViews>
    <sheetView zoomScale="97" zoomScaleNormal="75" zoomScaleSheetLayoutView="100" workbookViewId="0">
      <pane ySplit="9" topLeftCell="A18" activePane="bottomLeft" state="frozen"/>
      <selection pane="bottomLeft" activeCell="P20" sqref="P20"/>
    </sheetView>
  </sheetViews>
  <sheetFormatPr baseColWidth="10" defaultColWidth="6.42578125" defaultRowHeight="17"/>
  <cols>
    <col width="10" customWidth="1" style="1" min="1" max="1"/>
    <col width="2.85546875" customWidth="1" style="1" min="2" max="2"/>
    <col width="11.7109375" customWidth="1" style="1" min="3" max="3"/>
    <col width="3.28515625" customWidth="1" style="1" min="4" max="31"/>
    <col width="4.5703125" customWidth="1" style="1" min="32" max="32"/>
    <col width="4.140625" customWidth="1" style="1" min="33" max="33"/>
    <col width="22.42578125" customWidth="1" style="1" min="34" max="34"/>
    <col width="2.7109375" customWidth="1" style="1" min="35" max="35"/>
    <col width="6.42578125" customWidth="1" style="1" min="36" max="16384"/>
  </cols>
  <sheetData>
    <row r="1">
      <c r="A1" s="1" t="inlineStr">
        <is>
          <t>（参考様式４）</t>
        </is>
      </c>
    </row>
    <row r="2" ht="18.75" customHeight="1" s="155">
      <c r="A2" s="131" t="inlineStr">
        <is>
          <t>従業者の勤務の体制及び勤務形態一覧表</t>
        </is>
      </c>
      <c r="M2" s="134" t="inlineStr">
        <is>
          <t>（令和８年７月分）</t>
        </is>
      </c>
      <c r="N2" s="134" t="n"/>
      <c r="O2" s="134" t="n"/>
      <c r="P2" s="134" t="n"/>
      <c r="Q2" s="1" t="inlineStr">
        <is>
          <t>予定</t>
        </is>
      </c>
      <c r="V2" s="12" t="inlineStr">
        <is>
          <t>サービス種類（　地域密着型通所介護・介護予防通所サービス　）</t>
        </is>
      </c>
    </row>
    <row r="3" ht="18.75" customHeight="1" s="155">
      <c r="A3" s="130" t="n"/>
      <c r="Q3" s="11" t="n"/>
      <c r="V3" s="11" t="inlineStr">
        <is>
          <t>事業所名　 　（機能訓練型デイサービス　ココカラプラス）</t>
        </is>
      </c>
      <c r="W3" s="11" t="n"/>
      <c r="X3" s="11" t="n"/>
      <c r="Y3" s="11" t="n"/>
      <c r="Z3" s="11" t="n"/>
      <c r="AA3" s="11" t="n"/>
      <c r="AB3" s="11" t="n"/>
      <c r="AC3" s="11" t="n"/>
      <c r="AD3" s="11" t="n"/>
      <c r="AE3" s="11" t="n"/>
      <c r="AF3" s="11" t="n"/>
      <c r="AG3" s="11" t="n"/>
    </row>
    <row r="4" ht="18.75" customFormat="1" customHeight="1" s="131">
      <c r="A4" s="131" t="inlineStr">
        <is>
          <t>常勤職員の勤務時間</t>
        </is>
      </c>
      <c r="D4" s="131" t="inlineStr">
        <is>
          <t>１日</t>
        </is>
      </c>
      <c r="G4" s="131" t="n">
        <v>8</v>
      </c>
      <c r="H4" s="131" t="inlineStr">
        <is>
          <t>時間</t>
        </is>
      </c>
      <c r="P4" s="131" t="inlineStr">
        <is>
          <t>４週</t>
        </is>
      </c>
      <c r="S4" s="133" t="n">
        <v>160</v>
      </c>
      <c r="T4" s="131" t="inlineStr">
        <is>
          <t>時間</t>
        </is>
      </c>
      <c r="X4" s="132" t="n"/>
      <c r="Z4" s="132" t="n"/>
      <c r="AA4" s="132" t="n"/>
      <c r="AB4" s="132" t="n"/>
      <c r="AC4" s="132" t="n"/>
      <c r="AD4" s="132" t="n"/>
      <c r="AE4" s="132" t="n"/>
      <c r="AF4" s="132" t="n"/>
      <c r="AG4" s="132" t="n"/>
    </row>
    <row r="5" ht="18.75" customHeight="1" s="155">
      <c r="A5" s="130" t="inlineStr">
        <is>
          <t>（常勤職員の勤務時間は事業所の就業規則を確認して記載してください。）</t>
        </is>
      </c>
      <c r="Q5" s="11" t="n"/>
      <c r="V5" s="11" t="n"/>
      <c r="X5" s="156" t="n"/>
      <c r="Z5" s="156" t="n"/>
      <c r="AA5" s="156" t="n"/>
      <c r="AB5" s="156" t="n"/>
      <c r="AC5" s="156" t="n"/>
      <c r="AD5" s="156" t="n"/>
      <c r="AE5" s="156" t="n"/>
      <c r="AF5" s="128" t="n"/>
      <c r="AG5" s="157" t="n"/>
    </row>
    <row r="6" ht="18.75" customHeight="1" s="155" thickBot="1">
      <c r="A6" s="130" t="n"/>
      <c r="Q6" s="11" t="n"/>
      <c r="V6" s="11" t="n"/>
      <c r="X6" s="156" t="n"/>
      <c r="Z6" s="156" t="n"/>
      <c r="AA6" s="156" t="n"/>
      <c r="AB6" s="156" t="n"/>
      <c r="AC6" s="156" t="n"/>
      <c r="AD6" s="156" t="n"/>
      <c r="AE6" s="156" t="n"/>
      <c r="AF6" s="128" t="n"/>
      <c r="AG6" s="157" t="n"/>
    </row>
    <row r="7" ht="18.75" customHeight="1" s="155">
      <c r="A7" s="126" t="n"/>
      <c r="B7" s="125" t="inlineStr">
        <is>
          <t>勤務</t>
        </is>
      </c>
      <c r="C7" s="121" t="n"/>
      <c r="D7" s="122" t="inlineStr">
        <is>
          <t xml:space="preserve">　　　第　　１　　週</t>
        </is>
      </c>
      <c r="E7" s="158" t="n"/>
      <c r="F7" s="158" t="n"/>
      <c r="G7" s="158" t="n"/>
      <c r="H7" s="158" t="n"/>
      <c r="I7" s="158" t="n"/>
      <c r="J7" s="159" t="n"/>
      <c r="K7" s="160" t="inlineStr">
        <is>
          <t xml:space="preserve">　　　第　　２　　週</t>
        </is>
      </c>
      <c r="L7" s="158" t="n"/>
      <c r="M7" s="158" t="n"/>
      <c r="N7" s="158" t="n"/>
      <c r="O7" s="158" t="n"/>
      <c r="P7" s="158" t="n"/>
      <c r="Q7" s="159" t="n"/>
      <c r="R7" s="160" t="inlineStr">
        <is>
          <t xml:space="preserve">　　　第　　３　　週</t>
        </is>
      </c>
      <c r="S7" s="158" t="n"/>
      <c r="T7" s="158" t="n"/>
      <c r="U7" s="158" t="n"/>
      <c r="V7" s="158" t="n"/>
      <c r="W7" s="158" t="n"/>
      <c r="X7" s="159" t="n"/>
      <c r="Y7" s="160" t="inlineStr">
        <is>
          <t xml:space="preserve">　　　第　　４　　週</t>
        </is>
      </c>
      <c r="Z7" s="158" t="n"/>
      <c r="AA7" s="158" t="n"/>
      <c r="AB7" s="158" t="n"/>
      <c r="AC7" s="158" t="n"/>
      <c r="AD7" s="158" t="n"/>
      <c r="AE7" s="159" t="n"/>
      <c r="AF7" s="121" t="inlineStr">
        <is>
          <t>４週の</t>
        </is>
      </c>
      <c r="AG7" s="120" t="inlineStr">
        <is>
          <t>常勤換</t>
        </is>
      </c>
      <c r="AH7" s="119" t="inlineStr">
        <is>
          <t>兼務先及び</t>
        </is>
      </c>
    </row>
    <row r="8" ht="18" customHeight="1" s="155">
      <c r="A8" s="118" t="inlineStr">
        <is>
          <t>職　　種</t>
        </is>
      </c>
      <c r="B8" s="117" t="inlineStr">
        <is>
          <t>形態</t>
        </is>
      </c>
      <c r="C8" s="116" t="inlineStr">
        <is>
          <t>氏　　名</t>
        </is>
      </c>
      <c r="D8" s="161" t="n">
        <v>46357</v>
      </c>
      <c r="E8" s="162">
        <f>D8+1</f>
        <v/>
      </c>
      <c r="F8" s="162">
        <f>E8+1</f>
        <v/>
      </c>
      <c r="G8" s="162">
        <f>F8+1</f>
        <v/>
      </c>
      <c r="H8" s="162">
        <f>G8+1</f>
        <v/>
      </c>
      <c r="I8" s="162">
        <f>H8+1</f>
        <v/>
      </c>
      <c r="J8" s="163">
        <f>I8+1</f>
        <v/>
      </c>
      <c r="K8" s="161">
        <f>J8+1</f>
        <v/>
      </c>
      <c r="L8" s="162">
        <f>K8+1</f>
        <v/>
      </c>
      <c r="M8" s="162">
        <f>L8+1</f>
        <v/>
      </c>
      <c r="N8" s="162">
        <f>M8+1</f>
        <v/>
      </c>
      <c r="O8" s="162">
        <f>N8+1</f>
        <v/>
      </c>
      <c r="P8" s="162">
        <f>O8+1</f>
        <v/>
      </c>
      <c r="Q8" s="163">
        <f>P8+1</f>
        <v/>
      </c>
      <c r="R8" s="161">
        <f>Q8+1</f>
        <v/>
      </c>
      <c r="S8" s="162">
        <f>R8+1</f>
        <v/>
      </c>
      <c r="T8" s="162">
        <f>S8+1</f>
        <v/>
      </c>
      <c r="U8" s="162">
        <f>T8+1</f>
        <v/>
      </c>
      <c r="V8" s="162">
        <f>U8+1</f>
        <v/>
      </c>
      <c r="W8" s="162">
        <f>V8+1</f>
        <v/>
      </c>
      <c r="X8" s="163">
        <f>W8+1</f>
        <v/>
      </c>
      <c r="Y8" s="161">
        <f>X8+1</f>
        <v/>
      </c>
      <c r="Z8" s="162">
        <f>Y8+1</f>
        <v/>
      </c>
      <c r="AA8" s="162">
        <f>Z8+1</f>
        <v/>
      </c>
      <c r="AB8" s="162">
        <f>AA8+1</f>
        <v/>
      </c>
      <c r="AC8" s="162">
        <f>AB8+1</f>
        <v/>
      </c>
      <c r="AD8" s="162">
        <f>AC8+1</f>
        <v/>
      </c>
      <c r="AE8" s="163">
        <f>AD8+1</f>
        <v/>
      </c>
      <c r="AF8" s="112" t="n"/>
      <c r="AG8" s="111" t="inlineStr">
        <is>
          <t>算後の</t>
        </is>
      </c>
      <c r="AH8" s="110" t="inlineStr">
        <is>
          <t>兼務する職</t>
        </is>
      </c>
    </row>
    <row r="9" ht="18" customHeight="1" s="155" thickBot="1">
      <c r="A9" s="109" t="n"/>
      <c r="B9" s="108" t="n"/>
      <c r="C9" s="103" t="n"/>
      <c r="D9" s="164">
        <f>TEXT(D8,"aaa")</f>
        <v/>
      </c>
      <c r="E9" s="165">
        <f>TEXT(E8,"aaa")</f>
        <v/>
      </c>
      <c r="F9" s="105">
        <f>TEXT(F8,"aaa")</f>
        <v/>
      </c>
      <c r="G9" s="105">
        <f>TEXT(G8,"aaa")</f>
        <v/>
      </c>
      <c r="H9" s="105">
        <f>TEXT(H8,"aaa")</f>
        <v/>
      </c>
      <c r="I9" s="105">
        <f>TEXT(I8,"aaa")</f>
        <v/>
      </c>
      <c r="J9" s="104">
        <f>TEXT(J8,"aaa")</f>
        <v/>
      </c>
      <c r="K9" s="164">
        <f>TEXT(K8,"aaa")</f>
        <v/>
      </c>
      <c r="L9" s="165">
        <f>TEXT(L8,"aaa")</f>
        <v/>
      </c>
      <c r="M9" s="105">
        <f>TEXT(M8,"aaa")</f>
        <v/>
      </c>
      <c r="N9" s="105">
        <f>TEXT(N8,"aaa")</f>
        <v/>
      </c>
      <c r="O9" s="105">
        <f>TEXT(O8,"aaa")</f>
        <v/>
      </c>
      <c r="P9" s="105">
        <f>TEXT(P8,"aaa")</f>
        <v/>
      </c>
      <c r="Q9" s="104">
        <f>TEXT(Q8,"aaa")</f>
        <v/>
      </c>
      <c r="R9" s="164">
        <f>TEXT(R8,"aaa")</f>
        <v/>
      </c>
      <c r="S9" s="165">
        <f>TEXT(S8,"aaa")</f>
        <v/>
      </c>
      <c r="T9" s="105">
        <f>TEXT(T8,"aaa")</f>
        <v/>
      </c>
      <c r="U9" s="105">
        <f>TEXT(U8,"aaa")</f>
        <v/>
      </c>
      <c r="V9" s="105">
        <f>TEXT(V8,"aaa")</f>
        <v/>
      </c>
      <c r="W9" s="105">
        <f>TEXT(W8,"aaa")</f>
        <v/>
      </c>
      <c r="X9" s="104">
        <f>TEXT(X8,"aaa")</f>
        <v/>
      </c>
      <c r="Y9" s="164">
        <f>TEXT(Y8,"aaa")</f>
        <v/>
      </c>
      <c r="Z9" s="165">
        <f>TEXT(Z8,"aaa")</f>
        <v/>
      </c>
      <c r="AA9" s="105">
        <f>TEXT(AA8,"aaa")</f>
        <v/>
      </c>
      <c r="AB9" s="105">
        <f>TEXT(AB8,"aaa")</f>
        <v/>
      </c>
      <c r="AC9" s="105">
        <f>TEXT(AC8,"aaa")</f>
        <v/>
      </c>
      <c r="AD9" s="105">
        <f>TEXT(AD8,"aaa")</f>
        <v/>
      </c>
      <c r="AE9" s="104">
        <f>TEXT(AE8,"aaa")</f>
        <v/>
      </c>
      <c r="AF9" s="103" t="inlineStr">
        <is>
          <t>合 計</t>
        </is>
      </c>
      <c r="AG9" s="102" t="inlineStr">
        <is>
          <t>人数</t>
        </is>
      </c>
      <c r="AH9" s="101" t="inlineStr">
        <is>
          <t>務の内容</t>
        </is>
      </c>
    </row>
    <row r="10" ht="18" customHeight="1" s="155">
      <c r="A10" s="100" t="inlineStr">
        <is>
          <t>管理者</t>
        </is>
      </c>
      <c r="B10" s="99" t="n"/>
      <c r="C10" s="98" t="n"/>
      <c r="D10" s="166" t="n"/>
      <c r="E10" s="167" t="n"/>
      <c r="F10" s="167" t="n"/>
      <c r="G10" s="167" t="n"/>
      <c r="H10" s="167" t="n"/>
      <c r="I10" s="167" t="n"/>
      <c r="J10" s="168" t="n"/>
      <c r="K10" s="166" t="n"/>
      <c r="L10" s="167" t="n"/>
      <c r="M10" s="167" t="n"/>
      <c r="N10" s="167" t="n"/>
      <c r="O10" s="167" t="n"/>
      <c r="P10" s="167" t="n"/>
      <c r="Q10" s="168" t="n"/>
      <c r="R10" s="166" t="n"/>
      <c r="S10" s="167" t="n"/>
      <c r="T10" s="167" t="n"/>
      <c r="U10" s="167" t="n"/>
      <c r="V10" s="167" t="n"/>
      <c r="W10" s="167" t="n"/>
      <c r="X10" s="168" t="n"/>
      <c r="Y10" s="166" t="n"/>
      <c r="Z10" s="167" t="n"/>
      <c r="AA10" s="167" t="n"/>
      <c r="AB10" s="167" t="n"/>
      <c r="AC10" s="167" t="n"/>
      <c r="AD10" s="167" t="n"/>
      <c r="AE10" s="168" t="n"/>
      <c r="AF10" s="169">
        <f>SUM(D10:AE10)</f>
        <v/>
      </c>
      <c r="AG10" s="170">
        <f>SUM(AF10)/32</f>
        <v/>
      </c>
      <c r="AH10" s="92" t="inlineStr">
        <is>
          <t>機能訓練指導員と兼務</t>
        </is>
      </c>
    </row>
    <row r="11" ht="18" customHeight="1" s="155">
      <c r="A11" s="34" t="n"/>
      <c r="B11" s="30" t="n"/>
      <c r="C11" s="29" t="n"/>
      <c r="D11" s="171" t="n"/>
      <c r="E11" s="172" t="n"/>
      <c r="F11" s="172" t="n"/>
      <c r="G11" s="172" t="n"/>
      <c r="H11" s="172" t="n"/>
      <c r="I11" s="173" t="n"/>
      <c r="J11" s="174" t="n"/>
      <c r="K11" s="171" t="n"/>
      <c r="L11" s="172" t="n"/>
      <c r="M11" s="172" t="n"/>
      <c r="N11" s="172" t="n"/>
      <c r="O11" s="172" t="n"/>
      <c r="P11" s="173" t="n"/>
      <c r="Q11" s="174" t="n"/>
      <c r="R11" s="171" t="n"/>
      <c r="S11" s="172" t="n"/>
      <c r="T11" s="172" t="n"/>
      <c r="U11" s="172" t="n"/>
      <c r="V11" s="172" t="n"/>
      <c r="W11" s="173" t="n"/>
      <c r="X11" s="174" t="n"/>
      <c r="Y11" s="171" t="n"/>
      <c r="Z11" s="172" t="n"/>
      <c r="AA11" s="172" t="n"/>
      <c r="AB11" s="172" t="n"/>
      <c r="AC11" s="172" t="n"/>
      <c r="AD11" s="173" t="n"/>
      <c r="AE11" s="174" t="n"/>
      <c r="AF11" s="175" t="n"/>
      <c r="AG11" s="176" t="n"/>
      <c r="AH11" s="23" t="n"/>
    </row>
    <row r="12" ht="18" customHeight="1" s="155">
      <c r="A12" s="53" t="inlineStr">
        <is>
          <t>【１単位目】</t>
        </is>
      </c>
      <c r="B12" s="52" t="n"/>
      <c r="C12" s="51" t="n"/>
      <c r="D12" s="171" t="n"/>
      <c r="E12" s="177" t="n"/>
      <c r="F12" s="177" t="n"/>
      <c r="G12" s="177" t="n"/>
      <c r="H12" s="177" t="n"/>
      <c r="I12" s="178" t="n"/>
      <c r="J12" s="179" t="n"/>
      <c r="K12" s="171" t="n"/>
      <c r="L12" s="177" t="n"/>
      <c r="M12" s="177" t="n"/>
      <c r="N12" s="177" t="n"/>
      <c r="O12" s="177" t="n"/>
      <c r="P12" s="178" t="n"/>
      <c r="Q12" s="179" t="n"/>
      <c r="R12" s="171" t="n"/>
      <c r="S12" s="177" t="n"/>
      <c r="T12" s="177" t="n"/>
      <c r="U12" s="177" t="n"/>
      <c r="V12" s="177" t="n"/>
      <c r="W12" s="178" t="n"/>
      <c r="X12" s="179" t="n"/>
      <c r="Y12" s="171" t="n"/>
      <c r="Z12" s="177" t="n"/>
      <c r="AA12" s="177" t="n"/>
      <c r="AB12" s="177" t="n"/>
      <c r="AC12" s="177" t="n"/>
      <c r="AD12" s="178" t="n"/>
      <c r="AE12" s="179" t="n"/>
      <c r="AF12" s="180" t="n"/>
      <c r="AG12" s="181" t="n"/>
      <c r="AH12" s="23" t="n"/>
    </row>
    <row r="13" ht="18" customHeight="1" s="155">
      <c r="A13" s="90" t="inlineStr">
        <is>
          <t>生活相談員</t>
        </is>
      </c>
      <c r="B13" s="89" t="n"/>
      <c r="C13" s="88" t="n"/>
      <c r="D13" s="208" t="n"/>
      <c r="E13" s="209" t="n"/>
      <c r="F13" s="209" t="n"/>
      <c r="G13" s="209" t="n"/>
      <c r="H13" s="209" t="n"/>
      <c r="I13" s="209" t="n"/>
      <c r="J13" s="224" t="n"/>
      <c r="K13" s="208" t="n"/>
      <c r="L13" s="209" t="n"/>
      <c r="M13" s="209" t="n"/>
      <c r="N13" s="209" t="n"/>
      <c r="O13" s="209" t="n"/>
      <c r="P13" s="209" t="n"/>
      <c r="Q13" s="224" t="n"/>
      <c r="R13" s="208" t="n"/>
      <c r="S13" s="209" t="n"/>
      <c r="T13" s="209" t="n"/>
      <c r="U13" s="209" t="n"/>
      <c r="V13" s="209" t="n"/>
      <c r="W13" s="209" t="n"/>
      <c r="X13" s="224" t="n"/>
      <c r="Y13" s="208" t="n"/>
      <c r="Z13" s="209" t="n"/>
      <c r="AA13" s="209" t="n"/>
      <c r="AB13" s="209" t="n"/>
      <c r="AC13" s="209" t="n"/>
      <c r="AD13" s="209" t="n"/>
      <c r="AE13" s="224" t="n"/>
      <c r="AF13" s="212">
        <f>SUM(D13:AE13)</f>
        <v/>
      </c>
      <c r="AG13" s="213">
        <f>SUM(AF13:AF14)/32</f>
        <v/>
      </c>
      <c r="AH13" s="23" t="n"/>
    </row>
    <row r="14" ht="18" customHeight="1" s="155">
      <c r="A14" s="90" t="n"/>
      <c r="B14" s="89" t="n"/>
      <c r="C14" s="88" t="n"/>
      <c r="D14" s="208" t="n"/>
      <c r="E14" s="209" t="n"/>
      <c r="F14" s="209" t="n"/>
      <c r="G14" s="209" t="n"/>
      <c r="H14" s="209" t="n"/>
      <c r="I14" s="214" t="n"/>
      <c r="J14" s="211" t="n"/>
      <c r="K14" s="208" t="n"/>
      <c r="L14" s="209" t="n"/>
      <c r="M14" s="209" t="n"/>
      <c r="N14" s="209" t="n"/>
      <c r="O14" s="209" t="n"/>
      <c r="P14" s="214" t="n"/>
      <c r="Q14" s="211" t="n"/>
      <c r="R14" s="208" t="n"/>
      <c r="S14" s="209" t="n"/>
      <c r="T14" s="209" t="n"/>
      <c r="U14" s="209" t="n"/>
      <c r="V14" s="209" t="n"/>
      <c r="W14" s="214" t="n"/>
      <c r="X14" s="211" t="n"/>
      <c r="Y14" s="208" t="n"/>
      <c r="Z14" s="209" t="n"/>
      <c r="AA14" s="209" t="n"/>
      <c r="AB14" s="209" t="n"/>
      <c r="AC14" s="209" t="n"/>
      <c r="AD14" s="214" t="n"/>
      <c r="AE14" s="211" t="n"/>
      <c r="AF14" s="212">
        <f>SUM(D14:AE14)</f>
        <v/>
      </c>
      <c r="AG14" s="188" t="n"/>
      <c r="AH14" s="23" t="n"/>
    </row>
    <row r="15" ht="18" customHeight="1" s="155">
      <c r="A15" s="77" t="inlineStr">
        <is>
          <t>介護職員</t>
        </is>
      </c>
      <c r="B15" s="76" t="n"/>
      <c r="C15" s="75" t="n"/>
      <c r="D15" s="189" t="n"/>
      <c r="E15" s="190" t="n"/>
      <c r="F15" s="190" t="n"/>
      <c r="G15" s="190" t="n"/>
      <c r="H15" s="190" t="n"/>
      <c r="I15" s="190" t="n"/>
      <c r="J15" s="191" t="n"/>
      <c r="K15" s="189" t="n"/>
      <c r="L15" s="190" t="n"/>
      <c r="M15" s="190" t="n"/>
      <c r="N15" s="190" t="n"/>
      <c r="O15" s="190" t="n"/>
      <c r="P15" s="190" t="n"/>
      <c r="Q15" s="191" t="n"/>
      <c r="R15" s="189" t="n"/>
      <c r="S15" s="190" t="n"/>
      <c r="T15" s="190" t="n"/>
      <c r="U15" s="190" t="n"/>
      <c r="V15" s="190" t="n"/>
      <c r="W15" s="190" t="n"/>
      <c r="X15" s="191" t="n"/>
      <c r="Y15" s="189" t="n"/>
      <c r="Z15" s="190" t="n"/>
      <c r="AA15" s="190" t="n"/>
      <c r="AB15" s="190" t="n"/>
      <c r="AC15" s="190" t="n"/>
      <c r="AD15" s="190" t="n"/>
      <c r="AE15" s="191" t="n"/>
      <c r="AF15" s="192">
        <f>SUM(D15:AE15)</f>
        <v/>
      </c>
      <c r="AG15" s="193">
        <f>SUM(AF15:AF22)/32</f>
        <v/>
      </c>
      <c r="AH15" s="23" t="n"/>
    </row>
    <row r="16" ht="18" customHeight="1" s="155">
      <c r="A16" s="77" t="n"/>
      <c r="B16" s="76" t="n"/>
      <c r="C16" s="75" t="n"/>
      <c r="D16" s="189" t="n"/>
      <c r="E16" s="190" t="n"/>
      <c r="F16" s="190" t="n"/>
      <c r="G16" s="190" t="n"/>
      <c r="H16" s="190" t="n"/>
      <c r="I16" s="190" t="n"/>
      <c r="J16" s="191" t="n"/>
      <c r="K16" s="189" t="n"/>
      <c r="L16" s="190" t="n"/>
      <c r="M16" s="190" t="n"/>
      <c r="N16" s="190" t="n"/>
      <c r="O16" s="190" t="n"/>
      <c r="P16" s="190" t="n"/>
      <c r="Q16" s="191" t="n"/>
      <c r="R16" s="189" t="n"/>
      <c r="S16" s="190" t="n"/>
      <c r="T16" s="190" t="n"/>
      <c r="U16" s="190" t="n"/>
      <c r="V16" s="190" t="n"/>
      <c r="W16" s="190" t="n"/>
      <c r="X16" s="191" t="n"/>
      <c r="Y16" s="189" t="n"/>
      <c r="Z16" s="190" t="n"/>
      <c r="AA16" s="190" t="n"/>
      <c r="AB16" s="190" t="n"/>
      <c r="AC16" s="190" t="n"/>
      <c r="AD16" s="190" t="n"/>
      <c r="AE16" s="191" t="n"/>
      <c r="AF16" s="192">
        <f>SUM(D16:AE16)</f>
        <v/>
      </c>
      <c r="AG16" s="188" t="n"/>
      <c r="AH16" s="23" t="n"/>
    </row>
    <row r="17" ht="18" customHeight="1" s="155">
      <c r="A17" s="77" t="n"/>
      <c r="B17" s="76" t="n"/>
      <c r="C17" s="75" t="n"/>
      <c r="D17" s="189" t="n"/>
      <c r="E17" s="190" t="n"/>
      <c r="F17" s="190" t="n"/>
      <c r="G17" s="190" t="n"/>
      <c r="H17" s="190" t="n"/>
      <c r="I17" s="190" t="n"/>
      <c r="J17" s="191" t="n"/>
      <c r="K17" s="189" t="n"/>
      <c r="L17" s="190" t="n"/>
      <c r="M17" s="190" t="n"/>
      <c r="N17" s="190" t="n"/>
      <c r="O17" s="190" t="n"/>
      <c r="P17" s="190" t="n"/>
      <c r="Q17" s="191" t="n"/>
      <c r="R17" s="189" t="n"/>
      <c r="S17" s="190" t="n"/>
      <c r="T17" s="190" t="n"/>
      <c r="U17" s="190" t="n"/>
      <c r="V17" s="190" t="n"/>
      <c r="W17" s="190" t="n"/>
      <c r="X17" s="191" t="n"/>
      <c r="Y17" s="189" t="n"/>
      <c r="Z17" s="190" t="n"/>
      <c r="AA17" s="190" t="n"/>
      <c r="AB17" s="190" t="n"/>
      <c r="AC17" s="190" t="n"/>
      <c r="AD17" s="190" t="n"/>
      <c r="AE17" s="191" t="n"/>
      <c r="AF17" s="192">
        <f>SUM(D17:AE17)</f>
        <v/>
      </c>
      <c r="AG17" s="188" t="n"/>
      <c r="AH17" s="23" t="n"/>
    </row>
    <row r="18" ht="18" customHeight="1" s="155">
      <c r="A18" s="77" t="n"/>
      <c r="B18" s="76" t="n"/>
      <c r="C18" s="75" t="n"/>
      <c r="D18" s="189" t="n"/>
      <c r="E18" s="190" t="n"/>
      <c r="F18" s="190" t="n"/>
      <c r="G18" s="190" t="n"/>
      <c r="H18" s="190" t="n"/>
      <c r="I18" s="190" t="n"/>
      <c r="J18" s="191" t="n"/>
      <c r="K18" s="189" t="n"/>
      <c r="L18" s="190" t="n"/>
      <c r="M18" s="190" t="n"/>
      <c r="N18" s="190" t="n"/>
      <c r="O18" s="190" t="n"/>
      <c r="P18" s="190" t="n"/>
      <c r="Q18" s="191" t="n"/>
      <c r="R18" s="189" t="n"/>
      <c r="S18" s="190" t="n"/>
      <c r="T18" s="190" t="n"/>
      <c r="U18" s="190" t="n"/>
      <c r="V18" s="190" t="n"/>
      <c r="W18" s="190" t="n"/>
      <c r="X18" s="191" t="n"/>
      <c r="Y18" s="189" t="n"/>
      <c r="Z18" s="190" t="n"/>
      <c r="AA18" s="190" t="n"/>
      <c r="AB18" s="190" t="n"/>
      <c r="AC18" s="190" t="n"/>
      <c r="AD18" s="190" t="n"/>
      <c r="AE18" s="191" t="n"/>
      <c r="AF18" s="192">
        <f>SUM(D18:AE18)</f>
        <v/>
      </c>
      <c r="AG18" s="188" t="n"/>
      <c r="AH18" s="23" t="n"/>
    </row>
    <row r="19" ht="18" customHeight="1" s="155">
      <c r="A19" s="77" t="n"/>
      <c r="B19" s="76" t="n"/>
      <c r="C19" s="75" t="n"/>
      <c r="D19" s="189" t="n"/>
      <c r="E19" s="190" t="n"/>
      <c r="F19" s="190" t="n"/>
      <c r="G19" s="190" t="n"/>
      <c r="H19" s="190" t="n"/>
      <c r="I19" s="190" t="n"/>
      <c r="J19" s="191" t="n"/>
      <c r="K19" s="189" t="n"/>
      <c r="L19" s="190" t="n"/>
      <c r="M19" s="190" t="n"/>
      <c r="N19" s="190" t="n"/>
      <c r="O19" s="190" t="n"/>
      <c r="P19" s="190" t="n"/>
      <c r="Q19" s="191" t="n"/>
      <c r="R19" s="189" t="n"/>
      <c r="S19" s="190" t="n"/>
      <c r="T19" s="190" t="n"/>
      <c r="U19" s="190" t="n"/>
      <c r="V19" s="190" t="n"/>
      <c r="W19" s="190" t="n"/>
      <c r="X19" s="191" t="n"/>
      <c r="Y19" s="189" t="n"/>
      <c r="Z19" s="190" t="n"/>
      <c r="AA19" s="190" t="n"/>
      <c r="AB19" s="190" t="n"/>
      <c r="AC19" s="190" t="n"/>
      <c r="AD19" s="190" t="n"/>
      <c r="AE19" s="191" t="n"/>
      <c r="AF19" s="192">
        <f>SUM(D19:AE19)</f>
        <v/>
      </c>
      <c r="AG19" s="188" t="n"/>
      <c r="AH19" s="23" t="n"/>
    </row>
    <row r="20" ht="18" customHeight="1" s="155">
      <c r="A20" s="77" t="n"/>
      <c r="B20" s="76" t="n"/>
      <c r="C20" s="75" t="n"/>
      <c r="D20" s="189" t="n"/>
      <c r="E20" s="190" t="n"/>
      <c r="F20" s="190" t="n"/>
      <c r="G20" s="190" t="n"/>
      <c r="H20" s="190" t="n"/>
      <c r="I20" s="190" t="n"/>
      <c r="J20" s="191" t="n"/>
      <c r="K20" s="189" t="n"/>
      <c r="L20" s="190" t="n"/>
      <c r="M20" s="190" t="n"/>
      <c r="N20" s="190" t="n"/>
      <c r="O20" s="190" t="n"/>
      <c r="P20" s="190" t="n"/>
      <c r="Q20" s="191" t="n"/>
      <c r="R20" s="189" t="n"/>
      <c r="S20" s="190" t="n"/>
      <c r="T20" s="190" t="n"/>
      <c r="U20" s="190" t="n"/>
      <c r="V20" s="190" t="n"/>
      <c r="W20" s="190" t="n"/>
      <c r="X20" s="191" t="n"/>
      <c r="Y20" s="189" t="n"/>
      <c r="Z20" s="190" t="n"/>
      <c r="AA20" s="190" t="n"/>
      <c r="AB20" s="190" t="n"/>
      <c r="AC20" s="190" t="n"/>
      <c r="AD20" s="190" t="n"/>
      <c r="AE20" s="191" t="n"/>
      <c r="AF20" s="192">
        <f>SUM(D20:AE20)</f>
        <v/>
      </c>
      <c r="AG20" s="188" t="n"/>
      <c r="AH20" s="23" t="n"/>
    </row>
    <row r="21" ht="18" customHeight="1" s="155">
      <c r="A21" s="77" t="inlineStr">
        <is>
          <t>看護職員</t>
        </is>
      </c>
      <c r="B21" s="76" t="n"/>
      <c r="C21" s="75" t="n"/>
      <c r="D21" s="194" t="n"/>
      <c r="E21" s="195" t="n"/>
      <c r="F21" s="195" t="n"/>
      <c r="G21" s="195" t="n"/>
      <c r="H21" s="195" t="n"/>
      <c r="I21" s="195" t="n"/>
      <c r="J21" s="196" t="n"/>
      <c r="K21" s="194" t="n"/>
      <c r="L21" s="195" t="n"/>
      <c r="M21" s="195" t="n"/>
      <c r="N21" s="195" t="n"/>
      <c r="O21" s="195" t="n"/>
      <c r="P21" s="195" t="n"/>
      <c r="Q21" s="196" t="n"/>
      <c r="R21" s="194" t="n"/>
      <c r="S21" s="195" t="n"/>
      <c r="T21" s="195" t="n"/>
      <c r="U21" s="195" t="n"/>
      <c r="V21" s="195" t="n"/>
      <c r="W21" s="195" t="n"/>
      <c r="X21" s="196" t="n"/>
      <c r="Y21" s="194" t="n"/>
      <c r="Z21" s="195" t="n"/>
      <c r="AA21" s="195" t="n"/>
      <c r="AB21" s="195" t="n"/>
      <c r="AC21" s="195" t="n"/>
      <c r="AD21" s="195" t="n"/>
      <c r="AE21" s="196" t="n"/>
      <c r="AF21" s="192">
        <f>SUM(D21:AE21)</f>
        <v/>
      </c>
      <c r="AG21" s="188" t="n"/>
      <c r="AH21" s="23" t="n"/>
    </row>
    <row r="22" ht="18" customHeight="1" s="155">
      <c r="A22" s="77" t="n"/>
      <c r="B22" s="76" t="n"/>
      <c r="C22" s="75" t="n"/>
      <c r="D22" s="197" t="n"/>
      <c r="E22" s="198" t="n"/>
      <c r="F22" s="199" t="n"/>
      <c r="G22" s="199" t="n"/>
      <c r="H22" s="199" t="n"/>
      <c r="I22" s="190" t="n"/>
      <c r="J22" s="191" t="n"/>
      <c r="K22" s="197" t="n"/>
      <c r="L22" s="198" t="n"/>
      <c r="M22" s="199" t="n"/>
      <c r="N22" s="199" t="n"/>
      <c r="O22" s="199" t="n"/>
      <c r="P22" s="190" t="n"/>
      <c r="Q22" s="191" t="n"/>
      <c r="R22" s="197" t="n"/>
      <c r="S22" s="198" t="n"/>
      <c r="T22" s="199" t="n"/>
      <c r="U22" s="199" t="n"/>
      <c r="V22" s="199" t="n"/>
      <c r="W22" s="190" t="n"/>
      <c r="X22" s="191" t="n"/>
      <c r="Y22" s="197" t="n"/>
      <c r="Z22" s="198" t="n"/>
      <c r="AA22" s="199" t="n"/>
      <c r="AB22" s="199" t="n"/>
      <c r="AC22" s="199" t="n"/>
      <c r="AD22" s="190" t="n"/>
      <c r="AE22" s="191" t="n"/>
      <c r="AF22" s="192">
        <f>SUM(D22:AE22)</f>
        <v/>
      </c>
      <c r="AG22" s="188" t="n"/>
      <c r="AH22" s="23" t="n"/>
    </row>
    <row r="23" ht="18" customHeight="1" s="155">
      <c r="A23" s="67" t="inlineStr">
        <is>
          <t>機能訓練指導員</t>
        </is>
      </c>
      <c r="B23" s="60" t="n"/>
      <c r="C23" s="59" t="n"/>
      <c r="D23" s="200" t="n"/>
      <c r="E23" s="201" t="n"/>
      <c r="F23" s="201" t="n"/>
      <c r="G23" s="201" t="n"/>
      <c r="H23" s="201" t="n"/>
      <c r="I23" s="201" t="n"/>
      <c r="J23" s="202" t="n"/>
      <c r="K23" s="200" t="n"/>
      <c r="L23" s="201" t="n"/>
      <c r="M23" s="201" t="n"/>
      <c r="N23" s="201" t="n"/>
      <c r="O23" s="201" t="n"/>
      <c r="P23" s="201" t="n"/>
      <c r="Q23" s="202" t="n"/>
      <c r="R23" s="200" t="n"/>
      <c r="S23" s="201" t="n"/>
      <c r="T23" s="201" t="n"/>
      <c r="U23" s="201" t="n"/>
      <c r="V23" s="201" t="n"/>
      <c r="W23" s="201" t="n"/>
      <c r="X23" s="202" t="n"/>
      <c r="Y23" s="200" t="n"/>
      <c r="Z23" s="201" t="n"/>
      <c r="AA23" s="201" t="n"/>
      <c r="AB23" s="201" t="n"/>
      <c r="AC23" s="201" t="n"/>
      <c r="AD23" s="201" t="n"/>
      <c r="AE23" s="202" t="n"/>
      <c r="AF23" s="203">
        <f>SUM(D23:AE23)</f>
        <v/>
      </c>
      <c r="AG23" s="204">
        <f>SUM(AF23:AF24)/32</f>
        <v/>
      </c>
      <c r="AH23" s="23" t="inlineStr">
        <is>
          <t>管理者と兼務</t>
        </is>
      </c>
    </row>
    <row r="24" ht="18" customHeight="1" s="155">
      <c r="A24" s="61" t="n"/>
      <c r="B24" s="60" t="n"/>
      <c r="C24" s="59" t="n"/>
      <c r="D24" s="205" t="n"/>
      <c r="E24" s="206" t="n"/>
      <c r="F24" s="206" t="n"/>
      <c r="G24" s="206" t="n"/>
      <c r="H24" s="206" t="n"/>
      <c r="I24" s="206" t="n"/>
      <c r="J24" s="207" t="n"/>
      <c r="K24" s="205" t="n"/>
      <c r="L24" s="206" t="n"/>
      <c r="M24" s="206" t="n"/>
      <c r="N24" s="206" t="n"/>
      <c r="O24" s="206" t="n"/>
      <c r="P24" s="206" t="n"/>
      <c r="Q24" s="207" t="n"/>
      <c r="R24" s="205" t="n"/>
      <c r="S24" s="206" t="n"/>
      <c r="T24" s="206" t="n"/>
      <c r="U24" s="206" t="n"/>
      <c r="V24" s="206" t="n"/>
      <c r="W24" s="206" t="n"/>
      <c r="X24" s="207" t="n"/>
      <c r="Y24" s="205" t="n"/>
      <c r="Z24" s="206" t="n"/>
      <c r="AA24" s="206" t="n"/>
      <c r="AB24" s="206" t="n"/>
      <c r="AC24" s="206" t="n"/>
      <c r="AD24" s="206" t="n"/>
      <c r="AE24" s="207" t="n"/>
      <c r="AF24" s="203">
        <f>SUM(D24:AE24)</f>
        <v/>
      </c>
      <c r="AG24" s="188" t="n"/>
      <c r="AH24" s="23" t="n"/>
    </row>
    <row r="25" ht="18" customHeight="1" s="155">
      <c r="A25" s="34" t="n"/>
      <c r="B25" s="30" t="n"/>
      <c r="C25" s="29" t="n"/>
      <c r="D25" s="171" t="n"/>
      <c r="E25" s="172" t="n"/>
      <c r="F25" s="172" t="n"/>
      <c r="G25" s="172" t="n"/>
      <c r="H25" s="172" t="n"/>
      <c r="I25" s="173" t="n"/>
      <c r="J25" s="174" t="n"/>
      <c r="K25" s="171" t="n"/>
      <c r="L25" s="171" t="n"/>
      <c r="M25" s="171" t="n"/>
      <c r="N25" s="171" t="n"/>
      <c r="O25" s="171" t="n"/>
      <c r="P25" s="225" t="n"/>
      <c r="Q25" s="226" t="n"/>
      <c r="R25" s="171" t="n"/>
      <c r="S25" s="171" t="n"/>
      <c r="T25" s="171" t="n"/>
      <c r="U25" s="171" t="n"/>
      <c r="V25" s="171" t="n"/>
      <c r="W25" s="225" t="n"/>
      <c r="X25" s="226" t="n"/>
      <c r="Y25" s="171" t="n"/>
      <c r="Z25" s="171" t="n"/>
      <c r="AA25" s="171" t="n"/>
      <c r="AB25" s="171" t="n"/>
      <c r="AC25" s="171" t="n"/>
      <c r="AD25" s="225" t="n"/>
      <c r="AE25" s="226" t="n"/>
      <c r="AF25" s="175" t="n"/>
      <c r="AG25" s="176" t="n"/>
      <c r="AH25" s="23" t="n"/>
    </row>
    <row r="26" ht="18" customHeight="1" s="155">
      <c r="A26" s="34" t="n"/>
      <c r="B26" s="30" t="n"/>
      <c r="C26" s="41" t="n"/>
      <c r="D26" s="225" t="n"/>
      <c r="E26" s="173" t="n"/>
      <c r="F26" s="173" t="n"/>
      <c r="G26" s="173" t="n"/>
      <c r="H26" s="173" t="n"/>
      <c r="I26" s="173" t="n"/>
      <c r="J26" s="174" t="n"/>
      <c r="K26" s="225" t="n"/>
      <c r="L26" s="173" t="n"/>
      <c r="M26" s="173" t="n"/>
      <c r="N26" s="173" t="n"/>
      <c r="O26" s="173" t="n"/>
      <c r="P26" s="173" t="n"/>
      <c r="Q26" s="174" t="n"/>
      <c r="R26" s="225" t="n"/>
      <c r="S26" s="173" t="n"/>
      <c r="T26" s="173" t="n"/>
      <c r="U26" s="173" t="n"/>
      <c r="V26" s="173" t="n"/>
      <c r="W26" s="173" t="n"/>
      <c r="X26" s="174" t="n"/>
      <c r="Y26" s="225" t="n"/>
      <c r="Z26" s="173" t="n"/>
      <c r="AA26" s="173" t="n"/>
      <c r="AB26" s="173" t="n"/>
      <c r="AC26" s="173" t="n"/>
      <c r="AD26" s="173" t="n"/>
      <c r="AE26" s="174" t="n"/>
      <c r="AF26" s="175" t="n"/>
      <c r="AG26" s="176" t="n"/>
      <c r="AH26" s="23" t="n"/>
    </row>
    <row r="27" ht="18" customHeight="1" s="155">
      <c r="A27" s="34" t="n"/>
      <c r="B27" s="30" t="n"/>
      <c r="C27" s="29" t="n"/>
      <c r="D27" s="225" t="n"/>
      <c r="E27" s="173" t="n"/>
      <c r="F27" s="173" t="n"/>
      <c r="G27" s="173" t="n"/>
      <c r="H27" s="173" t="n"/>
      <c r="I27" s="173" t="n"/>
      <c r="J27" s="174" t="n"/>
      <c r="K27" s="225" t="n"/>
      <c r="L27" s="225" t="n"/>
      <c r="M27" s="225" t="n"/>
      <c r="N27" s="225" t="n"/>
      <c r="O27" s="225" t="n"/>
      <c r="P27" s="225" t="n"/>
      <c r="Q27" s="226" t="n"/>
      <c r="R27" s="225" t="n"/>
      <c r="S27" s="225" t="n"/>
      <c r="T27" s="225" t="n"/>
      <c r="U27" s="225" t="n"/>
      <c r="V27" s="225" t="n"/>
      <c r="W27" s="225" t="n"/>
      <c r="X27" s="226" t="n"/>
      <c r="Y27" s="225" t="n"/>
      <c r="Z27" s="225" t="n"/>
      <c r="AA27" s="225" t="n"/>
      <c r="AB27" s="225" t="n"/>
      <c r="AC27" s="225" t="n"/>
      <c r="AD27" s="225" t="n"/>
      <c r="AE27" s="226" t="n"/>
      <c r="AF27" s="175" t="n"/>
      <c r="AG27" s="188" t="n"/>
      <c r="AH27" s="23" t="n"/>
    </row>
    <row r="28" ht="18" customHeight="1" s="155">
      <c r="A28" s="34" t="n"/>
      <c r="B28" s="30" t="n"/>
      <c r="C28" s="29" t="n"/>
      <c r="D28" s="225" t="n"/>
      <c r="E28" s="173" t="n"/>
      <c r="F28" s="173" t="n"/>
      <c r="G28" s="173" t="n"/>
      <c r="H28" s="173" t="n"/>
      <c r="I28" s="173" t="n"/>
      <c r="J28" s="174" t="n"/>
      <c r="K28" s="225" t="n"/>
      <c r="L28" s="173" t="n"/>
      <c r="M28" s="173" t="n"/>
      <c r="N28" s="173" t="n"/>
      <c r="O28" s="173" t="n"/>
      <c r="P28" s="173" t="n"/>
      <c r="Q28" s="174" t="n"/>
      <c r="R28" s="225" t="n"/>
      <c r="S28" s="173" t="n"/>
      <c r="T28" s="173" t="n"/>
      <c r="U28" s="173" t="n"/>
      <c r="V28" s="173" t="n"/>
      <c r="W28" s="173" t="n"/>
      <c r="X28" s="174" t="n"/>
      <c r="Y28" s="225" t="n"/>
      <c r="Z28" s="173" t="n"/>
      <c r="AA28" s="173" t="n"/>
      <c r="AB28" s="173" t="n"/>
      <c r="AC28" s="173" t="n"/>
      <c r="AD28" s="173" t="n"/>
      <c r="AE28" s="174" t="n"/>
      <c r="AF28" s="175" t="n"/>
      <c r="AG28" s="176" t="n"/>
      <c r="AH28" s="23" t="n"/>
    </row>
    <row r="29" ht="18" customHeight="1" s="155">
      <c r="A29" s="34" t="n"/>
      <c r="B29" s="30" t="n"/>
      <c r="C29" s="29" t="n"/>
      <c r="D29" s="225" t="n"/>
      <c r="E29" s="173" t="n"/>
      <c r="F29" s="173" t="n"/>
      <c r="G29" s="173" t="n"/>
      <c r="H29" s="173" t="n"/>
      <c r="I29" s="173" t="n"/>
      <c r="J29" s="174" t="n"/>
      <c r="K29" s="225" t="n"/>
      <c r="L29" s="173" t="n"/>
      <c r="M29" s="173" t="n"/>
      <c r="N29" s="173" t="n"/>
      <c r="O29" s="173" t="n"/>
      <c r="P29" s="173" t="n"/>
      <c r="Q29" s="174" t="n"/>
      <c r="R29" s="225" t="n"/>
      <c r="S29" s="173" t="n"/>
      <c r="T29" s="173" t="n"/>
      <c r="U29" s="173" t="n"/>
      <c r="V29" s="173" t="n"/>
      <c r="W29" s="173" t="n"/>
      <c r="X29" s="174" t="n"/>
      <c r="Y29" s="225" t="n"/>
      <c r="Z29" s="173" t="n"/>
      <c r="AA29" s="173" t="n"/>
      <c r="AB29" s="173" t="n"/>
      <c r="AC29" s="173" t="n"/>
      <c r="AD29" s="173" t="n"/>
      <c r="AE29" s="174" t="n"/>
      <c r="AF29" s="175" t="n"/>
      <c r="AG29" s="188" t="n"/>
      <c r="AH29" s="23" t="n"/>
    </row>
    <row r="30" ht="18" customHeight="1" s="155">
      <c r="A30" s="34" t="n"/>
      <c r="B30" s="30" t="n"/>
      <c r="C30" s="29" t="n"/>
      <c r="D30" s="225" t="n"/>
      <c r="E30" s="173" t="n"/>
      <c r="F30" s="173" t="n"/>
      <c r="G30" s="173" t="n"/>
      <c r="H30" s="173" t="n"/>
      <c r="I30" s="173" t="n"/>
      <c r="J30" s="174" t="n"/>
      <c r="K30" s="225" t="n"/>
      <c r="L30" s="225" t="n"/>
      <c r="M30" s="225" t="n"/>
      <c r="N30" s="225" t="n"/>
      <c r="O30" s="225" t="n"/>
      <c r="P30" s="225" t="n"/>
      <c r="Q30" s="226" t="n"/>
      <c r="R30" s="225" t="n"/>
      <c r="S30" s="225" t="n"/>
      <c r="T30" s="225" t="n"/>
      <c r="U30" s="225" t="n"/>
      <c r="V30" s="225" t="n"/>
      <c r="W30" s="225" t="n"/>
      <c r="X30" s="226" t="n"/>
      <c r="Y30" s="225" t="n"/>
      <c r="Z30" s="225" t="n"/>
      <c r="AA30" s="225" t="n"/>
      <c r="AB30" s="225" t="n"/>
      <c r="AC30" s="225" t="n"/>
      <c r="AD30" s="225" t="n"/>
      <c r="AE30" s="226" t="n"/>
      <c r="AF30" s="175" t="n"/>
      <c r="AG30" s="188" t="n"/>
      <c r="AH30" s="23" t="n"/>
    </row>
    <row r="31" ht="18" customHeight="1" s="155">
      <c r="A31" s="34" t="n"/>
      <c r="B31" s="30" t="n"/>
      <c r="C31" s="29" t="n"/>
      <c r="D31" s="225" t="n"/>
      <c r="E31" s="173" t="n"/>
      <c r="F31" s="173" t="n"/>
      <c r="G31" s="173" t="n"/>
      <c r="H31" s="173" t="n"/>
      <c r="I31" s="173" t="n"/>
      <c r="J31" s="174" t="n"/>
      <c r="K31" s="225" t="n"/>
      <c r="L31" s="173" t="n"/>
      <c r="M31" s="173" t="n"/>
      <c r="N31" s="173" t="n"/>
      <c r="O31" s="173" t="n"/>
      <c r="P31" s="173" t="n"/>
      <c r="Q31" s="174" t="n"/>
      <c r="R31" s="225" t="n"/>
      <c r="S31" s="173" t="n"/>
      <c r="T31" s="173" t="n"/>
      <c r="U31" s="173" t="n"/>
      <c r="V31" s="173" t="n"/>
      <c r="W31" s="173" t="n"/>
      <c r="X31" s="174" t="n"/>
      <c r="Y31" s="225" t="n"/>
      <c r="Z31" s="173" t="n"/>
      <c r="AA31" s="173" t="n"/>
      <c r="AB31" s="173" t="n"/>
      <c r="AC31" s="173" t="n"/>
      <c r="AD31" s="173" t="n"/>
      <c r="AE31" s="174" t="n"/>
      <c r="AF31" s="175" t="n"/>
      <c r="AG31" s="188" t="n"/>
      <c r="AH31" s="23" t="n"/>
    </row>
    <row r="32" ht="18" customHeight="1" s="155">
      <c r="A32" s="34" t="n"/>
      <c r="B32" s="30" t="n"/>
      <c r="C32" s="29" t="n"/>
      <c r="D32" s="225" t="n"/>
      <c r="E32" s="173" t="n"/>
      <c r="F32" s="173" t="n"/>
      <c r="G32" s="173" t="n"/>
      <c r="H32" s="173" t="n"/>
      <c r="I32" s="173" t="n"/>
      <c r="J32" s="174" t="n"/>
      <c r="K32" s="225" t="n"/>
      <c r="L32" s="225" t="n"/>
      <c r="M32" s="225" t="n"/>
      <c r="N32" s="225" t="n"/>
      <c r="O32" s="225" t="n"/>
      <c r="P32" s="225" t="n"/>
      <c r="Q32" s="226" t="n"/>
      <c r="R32" s="225" t="n"/>
      <c r="S32" s="225" t="n"/>
      <c r="T32" s="225" t="n"/>
      <c r="U32" s="225" t="n"/>
      <c r="V32" s="225" t="n"/>
      <c r="W32" s="225" t="n"/>
      <c r="X32" s="226" t="n"/>
      <c r="Y32" s="225" t="n"/>
      <c r="Z32" s="225" t="n"/>
      <c r="AA32" s="225" t="n"/>
      <c r="AB32" s="225" t="n"/>
      <c r="AC32" s="225" t="n"/>
      <c r="AD32" s="225" t="n"/>
      <c r="AE32" s="226" t="n"/>
      <c r="AF32" s="175" t="n"/>
      <c r="AG32" s="188" t="n"/>
      <c r="AH32" s="23" t="n"/>
    </row>
    <row r="33" ht="18" customHeight="1" s="155">
      <c r="A33" s="34" t="n"/>
      <c r="B33" s="30" t="n"/>
      <c r="C33" s="29" t="n"/>
      <c r="D33" s="227" t="n"/>
      <c r="E33" s="228" t="n"/>
      <c r="F33" s="228" t="n"/>
      <c r="G33" s="228" t="n"/>
      <c r="H33" s="228" t="n"/>
      <c r="I33" s="228" t="n"/>
      <c r="J33" s="229" t="n"/>
      <c r="K33" s="227" t="n"/>
      <c r="L33" s="228" t="n"/>
      <c r="M33" s="228" t="n"/>
      <c r="N33" s="228" t="n"/>
      <c r="O33" s="228" t="n"/>
      <c r="P33" s="228" t="n"/>
      <c r="Q33" s="229" t="n"/>
      <c r="R33" s="227" t="n"/>
      <c r="S33" s="228" t="n"/>
      <c r="T33" s="228" t="n"/>
      <c r="U33" s="228" t="n"/>
      <c r="V33" s="228" t="n"/>
      <c r="W33" s="228" t="n"/>
      <c r="X33" s="229" t="n"/>
      <c r="Y33" s="227" t="n"/>
      <c r="Z33" s="228" t="n"/>
      <c r="AA33" s="228" t="n"/>
      <c r="AB33" s="228" t="n"/>
      <c r="AC33" s="228" t="n"/>
      <c r="AD33" s="228" t="n"/>
      <c r="AE33" s="229" t="n"/>
      <c r="AF33" s="175" t="n"/>
      <c r="AG33" s="188" t="n"/>
      <c r="AH33" s="23" t="n"/>
    </row>
    <row r="34" ht="18" customHeight="1" s="155">
      <c r="A34" s="34" t="n"/>
      <c r="B34" s="30" t="n"/>
      <c r="C34" s="29" t="n"/>
      <c r="D34" s="225" t="n"/>
      <c r="E34" s="173" t="n"/>
      <c r="F34" s="173" t="n"/>
      <c r="G34" s="173" t="n"/>
      <c r="H34" s="228" t="n"/>
      <c r="I34" s="173" t="n"/>
      <c r="J34" s="174" t="n"/>
      <c r="K34" s="225" t="n"/>
      <c r="L34" s="225" t="n"/>
      <c r="M34" s="225" t="n"/>
      <c r="N34" s="225" t="n"/>
      <c r="O34" s="225" t="n"/>
      <c r="P34" s="225" t="n"/>
      <c r="Q34" s="226" t="n"/>
      <c r="R34" s="225" t="n"/>
      <c r="S34" s="225" t="n"/>
      <c r="T34" s="225" t="n"/>
      <c r="U34" s="225" t="n"/>
      <c r="V34" s="225" t="n"/>
      <c r="W34" s="225" t="n"/>
      <c r="X34" s="226" t="n"/>
      <c r="Y34" s="225" t="n"/>
      <c r="Z34" s="225" t="n"/>
      <c r="AA34" s="225" t="n"/>
      <c r="AB34" s="225" t="n"/>
      <c r="AC34" s="225" t="n"/>
      <c r="AD34" s="225" t="n"/>
      <c r="AE34" s="226" t="n"/>
      <c r="AF34" s="175" t="n"/>
      <c r="AG34" s="188" t="n"/>
      <c r="AH34" s="23" t="n"/>
    </row>
    <row r="35" ht="18" customHeight="1" s="155">
      <c r="A35" s="34" t="n"/>
      <c r="B35" s="30" t="n"/>
      <c r="C35" s="29" t="n"/>
      <c r="D35" s="225" t="n"/>
      <c r="E35" s="173" t="n"/>
      <c r="F35" s="173" t="n"/>
      <c r="G35" s="173" t="n"/>
      <c r="H35" s="173" t="n"/>
      <c r="I35" s="173" t="n"/>
      <c r="J35" s="174" t="n"/>
      <c r="K35" s="225" t="n"/>
      <c r="L35" s="225" t="n"/>
      <c r="M35" s="225" t="n"/>
      <c r="N35" s="225" t="n"/>
      <c r="O35" s="225" t="n"/>
      <c r="P35" s="225" t="n"/>
      <c r="Q35" s="226" t="n"/>
      <c r="R35" s="225" t="n"/>
      <c r="S35" s="225" t="n"/>
      <c r="T35" s="225" t="n"/>
      <c r="U35" s="225" t="n"/>
      <c r="V35" s="225" t="n"/>
      <c r="W35" s="225" t="n"/>
      <c r="X35" s="226" t="n"/>
      <c r="Y35" s="225" t="n"/>
      <c r="Z35" s="225" t="n"/>
      <c r="AA35" s="225" t="n"/>
      <c r="AB35" s="225" t="n"/>
      <c r="AC35" s="225" t="n"/>
      <c r="AD35" s="225" t="n"/>
      <c r="AE35" s="226" t="n"/>
      <c r="AF35" s="175" t="n"/>
      <c r="AG35" s="188" t="n"/>
      <c r="AH35" s="23" t="n"/>
    </row>
    <row r="36" ht="18" customHeight="1" s="155">
      <c r="A36" s="31" t="n"/>
      <c r="B36" s="30" t="n"/>
      <c r="C36" s="29" t="n"/>
      <c r="D36" s="225" t="n"/>
      <c r="E36" s="173" t="n"/>
      <c r="F36" s="173" t="n"/>
      <c r="G36" s="173" t="n"/>
      <c r="H36" s="173" t="n"/>
      <c r="I36" s="173" t="n"/>
      <c r="J36" s="174" t="n"/>
      <c r="K36" s="225" t="n"/>
      <c r="L36" s="173" t="n"/>
      <c r="M36" s="173" t="n"/>
      <c r="N36" s="173" t="n"/>
      <c r="O36" s="173" t="n"/>
      <c r="P36" s="173" t="n"/>
      <c r="Q36" s="174" t="n"/>
      <c r="R36" s="225" t="n"/>
      <c r="S36" s="173" t="n"/>
      <c r="T36" s="173" t="n"/>
      <c r="U36" s="173" t="n"/>
      <c r="V36" s="173" t="n"/>
      <c r="W36" s="173" t="n"/>
      <c r="X36" s="174" t="n"/>
      <c r="Y36" s="225" t="n"/>
      <c r="Z36" s="173" t="n"/>
      <c r="AA36" s="173" t="n"/>
      <c r="AB36" s="173" t="n"/>
      <c r="AC36" s="173" t="n"/>
      <c r="AD36" s="173" t="n"/>
      <c r="AE36" s="174" t="n"/>
      <c r="AF36" s="175" t="n"/>
      <c r="AG36" s="176" t="n"/>
      <c r="AH36" s="23" t="n"/>
    </row>
    <row r="37" ht="18" customHeight="1" s="155" thickBot="1">
      <c r="A37" s="22" t="n"/>
      <c r="B37" s="21" t="n"/>
      <c r="C37" s="20" t="n"/>
      <c r="D37" s="230" t="n"/>
      <c r="E37" s="231" t="n"/>
      <c r="F37" s="231" t="n"/>
      <c r="G37" s="231" t="n"/>
      <c r="H37" s="231" t="n"/>
      <c r="I37" s="231" t="n"/>
      <c r="J37" s="232" t="n"/>
      <c r="K37" s="230" t="n"/>
      <c r="L37" s="230" t="n"/>
      <c r="M37" s="230" t="n"/>
      <c r="N37" s="230" t="n"/>
      <c r="O37" s="230" t="n"/>
      <c r="P37" s="230" t="n"/>
      <c r="Q37" s="233" t="n"/>
      <c r="R37" s="230" t="n"/>
      <c r="S37" s="230" t="n"/>
      <c r="T37" s="230" t="n"/>
      <c r="U37" s="230" t="n"/>
      <c r="V37" s="230" t="n"/>
      <c r="W37" s="230" t="n"/>
      <c r="X37" s="233" t="n"/>
      <c r="Y37" s="230" t="n"/>
      <c r="Z37" s="230" t="n"/>
      <c r="AA37" s="230" t="n"/>
      <c r="AB37" s="230" t="n"/>
      <c r="AC37" s="230" t="n"/>
      <c r="AD37" s="230" t="n"/>
      <c r="AE37" s="233" t="n"/>
      <c r="AF37" s="234" t="n"/>
      <c r="AG37" s="219" t="n"/>
      <c r="AH37" s="13" t="n"/>
    </row>
    <row r="38" ht="18" customHeight="1" s="155">
      <c r="A38" s="1" t="inlineStr">
        <is>
          <t xml:space="preserve">　           ２　申請する事業に係る従業者全員（管理者を含む。）について、４週間分の勤務すべき時間数を記入してください。</t>
        </is>
      </c>
    </row>
    <row r="39" ht="18" customHeight="1" s="155">
      <c r="A39" s="1" t="inlineStr">
        <is>
          <t xml:space="preserve">　 　        ３　職種ごとに下記の勤務形態の区分の順にまとめて記載してください。</t>
        </is>
      </c>
    </row>
    <row r="40" ht="18" customHeight="1" s="155">
      <c r="A40" s="12" t="inlineStr">
        <is>
          <t xml:space="preserve">               勤務形態の区分　Ａ：常勤で専従　Ｂ：常勤で兼務　Ｃ：常勤以外で専従　Ｄ：常勤以外で兼務</t>
        </is>
      </c>
      <c r="B40" s="11" t="n"/>
      <c r="C40" s="11" t="n"/>
    </row>
    <row r="41" ht="18" customHeight="1" s="155">
      <c r="A41" s="10" t="inlineStr">
        <is>
          <t>常勤</t>
        </is>
      </c>
      <c r="B41" s="220" t="inlineStr">
        <is>
          <t>正規職員、パート、派遣など雇用形態にかかわらず、「常勤職員の勤務時間数」を勤務する場合はすべて常勤。</t>
        </is>
      </c>
      <c r="C41" s="221" t="n"/>
      <c r="D41" s="221" t="n"/>
      <c r="E41" s="221" t="n"/>
      <c r="F41" s="221" t="n"/>
      <c r="G41" s="221" t="n"/>
      <c r="H41" s="221" t="n"/>
      <c r="I41" s="221" t="n"/>
      <c r="J41" s="221" t="n"/>
      <c r="K41" s="221" t="n"/>
      <c r="L41" s="221" t="n"/>
      <c r="M41" s="221" t="n"/>
      <c r="N41" s="221" t="n"/>
      <c r="O41" s="221" t="n"/>
      <c r="P41" s="221" t="n"/>
      <c r="Q41" s="221" t="n"/>
      <c r="R41" s="221" t="n"/>
      <c r="S41" s="221" t="n"/>
      <c r="T41" s="221" t="n"/>
      <c r="U41" s="221" t="n"/>
      <c r="V41" s="221" t="n"/>
      <c r="W41" s="221" t="n"/>
      <c r="X41" s="221" t="n"/>
      <c r="Y41" s="221" t="n"/>
      <c r="Z41" s="221" t="n"/>
      <c r="AA41" s="221" t="n"/>
      <c r="AB41" s="221" t="n"/>
      <c r="AC41" s="221" t="n"/>
      <c r="AD41" s="221" t="n"/>
      <c r="AE41" s="221" t="n"/>
      <c r="AF41" s="221" t="n"/>
      <c r="AG41" s="221" t="n"/>
      <c r="AH41" s="222" t="n"/>
    </row>
    <row r="42" ht="18" customHeight="1" s="155">
      <c r="A42" s="6" t="inlineStr">
        <is>
          <t>非常勤</t>
        </is>
      </c>
      <c r="B42" s="223" t="inlineStr">
        <is>
          <t>この事業所における勤務時間が、「常勤職員の勤務時間数」に満たない場合は、非常勤。正規職員であっても同一法人の同一敷地内にない他の事業所を兼務している場合などは、非常勤。</t>
        </is>
      </c>
      <c r="C42" s="221" t="n"/>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2" t="n"/>
    </row>
    <row r="43" ht="18" customHeight="1" s="155">
      <c r="A43" s="6" t="inlineStr">
        <is>
          <t>専従</t>
        </is>
      </c>
      <c r="B43" s="223" t="inlineStr">
        <is>
          <t>当該事業所の他の職種に従事せず、同一敷地内の同一法人が経営する他の事業所の職務に従事していない場合。</t>
        </is>
      </c>
      <c r="C43" s="221" t="n"/>
      <c r="D43" s="221" t="n"/>
      <c r="E43" s="221" t="n"/>
      <c r="F43" s="221" t="n"/>
      <c r="G43" s="221" t="n"/>
      <c r="H43" s="221" t="n"/>
      <c r="I43" s="221" t="n"/>
      <c r="J43" s="221" t="n"/>
      <c r="K43" s="221" t="n"/>
      <c r="L43" s="221" t="n"/>
      <c r="M43" s="221" t="n"/>
      <c r="N43" s="221" t="n"/>
      <c r="O43" s="221" t="n"/>
      <c r="P43" s="221" t="n"/>
      <c r="Q43" s="221" t="n"/>
      <c r="R43" s="221" t="n"/>
      <c r="S43" s="221" t="n"/>
      <c r="T43" s="221" t="n"/>
      <c r="U43" s="221" t="n"/>
      <c r="V43" s="221" t="n"/>
      <c r="W43" s="221" t="n"/>
      <c r="X43" s="221" t="n"/>
      <c r="Y43" s="221" t="n"/>
      <c r="Z43" s="221" t="n"/>
      <c r="AA43" s="221" t="n"/>
      <c r="AB43" s="221" t="n"/>
      <c r="AC43" s="221" t="n"/>
      <c r="AD43" s="221" t="n"/>
      <c r="AE43" s="221" t="n"/>
      <c r="AF43" s="221" t="n"/>
      <c r="AG43" s="221" t="n"/>
      <c r="AH43" s="222" t="n"/>
    </row>
    <row r="44" ht="18" customHeight="1" s="155">
      <c r="A44" s="6" t="inlineStr">
        <is>
          <t>兼務</t>
        </is>
      </c>
      <c r="B44" s="223" t="inlineStr">
        <is>
          <t>当該事業所の他の職種又は同一敷地内の同一法人が経営する他の事業所の職務に従事している場合。</t>
        </is>
      </c>
      <c r="C44" s="221" t="n"/>
      <c r="D44" s="221" t="n"/>
      <c r="E44" s="221" t="n"/>
      <c r="F44" s="221" t="n"/>
      <c r="G44" s="221" t="n"/>
      <c r="H44" s="221" t="n"/>
      <c r="I44" s="221" t="n"/>
      <c r="J44" s="221" t="n"/>
      <c r="K44" s="221" t="n"/>
      <c r="L44" s="221" t="n"/>
      <c r="M44" s="221" t="n"/>
      <c r="N44" s="221" t="n"/>
      <c r="O44" s="221" t="n"/>
      <c r="P44" s="221" t="n"/>
      <c r="Q44" s="221" t="n"/>
      <c r="R44" s="221" t="n"/>
      <c r="S44" s="221" t="n"/>
      <c r="T44" s="221" t="n"/>
      <c r="U44" s="221" t="n"/>
      <c r="V44" s="221" t="n"/>
      <c r="W44" s="221" t="n"/>
      <c r="X44" s="221" t="n"/>
      <c r="Y44" s="221" t="n"/>
      <c r="Z44" s="221" t="n"/>
      <c r="AA44" s="221" t="n"/>
      <c r="AB44" s="221" t="n"/>
      <c r="AC44" s="221" t="n"/>
      <c r="AD44" s="221" t="n"/>
      <c r="AE44" s="221" t="n"/>
      <c r="AF44" s="221" t="n"/>
      <c r="AG44" s="221" t="n"/>
      <c r="AH44" s="222" t="n"/>
    </row>
    <row r="45" ht="18" customHeight="1" s="155">
      <c r="A45" s="1" t="inlineStr">
        <is>
          <t xml:space="preserve">　　　      ４　常勤換算が必要な職種は、常勤の従業者が４週に勤務すべき時間数で割って、「常勤換算後の人数」を算出してください。</t>
        </is>
      </c>
    </row>
    <row r="46" ht="18" customHeight="1" s="155">
      <c r="A46" s="2" t="inlineStr">
        <is>
          <t xml:space="preserve">　　  　    ５　算出にあたっては、小数点以下第２位を切り捨ててください。</t>
        </is>
      </c>
    </row>
    <row r="47" ht="18" customHeight="1" s="155">
      <c r="A47" s="1" t="inlineStr">
        <is>
          <t xml:space="preserve">　　  　    ６　１０名未満で就業規則を作成していない場合は、常勤の勤務時間を定めて記入してください。</t>
        </is>
      </c>
      <c r="AH47" s="1" t="inlineStr">
        <is>
          <t>（日本工業規格Ａ列４番）</t>
        </is>
      </c>
    </row>
    <row r="48" ht="18" customHeight="1" s="155"/>
  </sheetData>
  <mergeCells count="15">
    <mergeCell ref="AG36:AG37"/>
    <mergeCell ref="B41:AH41"/>
    <mergeCell ref="AG28:AG35"/>
    <mergeCell ref="B44:AH44"/>
    <mergeCell ref="B43:AH43"/>
    <mergeCell ref="D7:J7"/>
    <mergeCell ref="AG13:AG14"/>
    <mergeCell ref="K7:Q7"/>
    <mergeCell ref="Y7:AE7"/>
    <mergeCell ref="A46:AH46"/>
    <mergeCell ref="R7:X7"/>
    <mergeCell ref="AG23:AG24"/>
    <mergeCell ref="B42:AH42"/>
    <mergeCell ref="AG15:AG22"/>
    <mergeCell ref="AG26:AG27"/>
  </mergeCells>
  <printOptions horizontalCentered="1" verticalCentered="1"/>
  <pageMargins left="0.7900000000000001" right="0.7900000000000001" top="0.3900000000000001" bottom="0" header="0.51" footer="0.24"/>
  <pageSetup orientation="landscape" paperSize="9" scale="6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ＬＩＦＥＰＬＵＳ 合同会社</dc:creator>
  <dcterms:created xmlns:dcterms="http://purl.org/dc/terms/" xmlns:xsi="http://www.w3.org/2001/XMLSchema-instance" xsi:type="dcterms:W3CDTF">2026-07-09T07:32:40Z</dcterms:created>
  <dcterms:modified xmlns:dcterms="http://purl.org/dc/terms/" xmlns:xsi="http://www.w3.org/2001/XMLSchema-instance" xsi:type="dcterms:W3CDTF">2026-08-13T06:52:47Z</dcterms:modified>
  <cp:lastModifiedBy>ＬＩＦＥＰＬＵＳ 合同会社</cp:lastModifiedBy>
</cp:coreProperties>
</file>