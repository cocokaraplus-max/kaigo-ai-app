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ZIMAX 1/Desktop/"/>
    </mc:Choice>
  </mc:AlternateContent>
  <xr:revisionPtr revIDLastSave="0" documentId="13_ncr:1_{C4BE5339-2C4D-C944-AC2D-DE735568FF7D}" xr6:coauthVersionLast="47" xr6:coauthVersionMax="47" xr10:uidLastSave="{00000000-0000-0000-0000-000000000000}"/>
  <bookViews>
    <workbookView xWindow="640" yWindow="1100" windowWidth="27900" windowHeight="16260" activeTab="1" xr2:uid="{3B6E626D-12BA-7642-82E9-9652384BD7A2}"/>
  </bookViews>
  <sheets>
    <sheet name="Sheet1" sheetId="1" r:id="rId1"/>
    <sheet name="R8.7(半日型）" sheetId="3" r:id="rId2"/>
    <sheet name="R8.7 (1日型)"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8" i="3" l="1"/>
  <c r="F8" i="3"/>
  <c r="G8" i="3"/>
  <c r="H8" i="3"/>
  <c r="I8" i="3"/>
  <c r="J8" i="3"/>
  <c r="K8" i="3"/>
  <c r="L8" i="3"/>
  <c r="M8" i="3"/>
  <c r="N8" i="3"/>
  <c r="O8" i="3"/>
  <c r="P8" i="3"/>
  <c r="Q8" i="3"/>
  <c r="R8" i="3"/>
  <c r="S8" i="3"/>
  <c r="T8" i="3"/>
  <c r="U8" i="3"/>
  <c r="V8" i="3"/>
  <c r="W8" i="3"/>
  <c r="X8" i="3"/>
  <c r="Y8" i="3"/>
  <c r="Z8" i="3"/>
  <c r="AA8" i="3"/>
  <c r="AB8" i="3"/>
  <c r="AC8" i="3"/>
  <c r="AD8" i="3"/>
  <c r="AE8" i="3"/>
  <c r="D9" i="3"/>
  <c r="E9" i="3"/>
  <c r="F9" i="3"/>
  <c r="G9" i="3"/>
  <c r="H9" i="3"/>
  <c r="I9" i="3"/>
  <c r="J9" i="3"/>
  <c r="K9" i="3"/>
  <c r="L9" i="3"/>
  <c r="M9" i="3"/>
  <c r="N9" i="3"/>
  <c r="O9" i="3"/>
  <c r="P9" i="3"/>
  <c r="Q9" i="3"/>
  <c r="R9" i="3"/>
  <c r="S9" i="3"/>
  <c r="T9" i="3"/>
  <c r="U9" i="3"/>
  <c r="V9" i="3"/>
  <c r="W9" i="3"/>
  <c r="X9" i="3"/>
  <c r="Y9" i="3"/>
  <c r="Z9" i="3"/>
  <c r="AA9" i="3"/>
  <c r="AB9" i="3"/>
  <c r="AC9" i="3"/>
  <c r="AD9" i="3"/>
  <c r="AE9" i="3"/>
  <c r="AF10" i="3"/>
  <c r="AG10" i="3"/>
  <c r="AF13" i="3"/>
  <c r="AF14" i="3"/>
  <c r="AF15" i="3"/>
  <c r="AF16" i="3"/>
  <c r="AF17" i="3"/>
  <c r="AF18" i="3"/>
  <c r="AF19" i="3"/>
  <c r="AF20" i="3"/>
  <c r="AF21" i="3"/>
  <c r="AF22" i="3"/>
  <c r="AF23" i="3"/>
  <c r="AF24" i="3"/>
  <c r="AG23" i="3" s="1"/>
  <c r="AF26" i="3"/>
  <c r="AF27" i="3"/>
  <c r="AG26" i="3" s="1"/>
  <c r="AF28" i="3"/>
  <c r="AF29" i="3"/>
  <c r="AF30" i="3"/>
  <c r="AF31" i="3"/>
  <c r="AF32" i="3"/>
  <c r="AF33" i="3"/>
  <c r="AF34" i="3"/>
  <c r="AF35" i="3"/>
  <c r="AF36" i="3"/>
  <c r="AF37" i="3"/>
  <c r="AG36" i="3" s="1"/>
  <c r="E8" i="2"/>
  <c r="F8" i="2"/>
  <c r="G8" i="2"/>
  <c r="H8" i="2"/>
  <c r="H9" i="2" s="1"/>
  <c r="I8" i="2"/>
  <c r="I9" i="2" s="1"/>
  <c r="J8" i="2"/>
  <c r="J9" i="2" s="1"/>
  <c r="K8" i="2"/>
  <c r="K9" i="2" s="1"/>
  <c r="L8" i="2"/>
  <c r="L9" i="2" s="1"/>
  <c r="M8" i="2"/>
  <c r="M9" i="2" s="1"/>
  <c r="N8" i="2"/>
  <c r="D9" i="2"/>
  <c r="E9" i="2"/>
  <c r="F9" i="2"/>
  <c r="G9" i="2"/>
  <c r="AF10" i="2"/>
  <c r="AG10" i="2" s="1"/>
  <c r="AF13" i="2"/>
  <c r="AF14" i="2"/>
  <c r="AG13" i="2" s="1"/>
  <c r="AF15" i="2"/>
  <c r="AF16" i="2"/>
  <c r="AF17" i="2"/>
  <c r="AF18" i="2"/>
  <c r="AF19" i="2"/>
  <c r="AF20" i="2"/>
  <c r="AF21" i="2"/>
  <c r="AF22" i="2"/>
  <c r="AF23" i="2"/>
  <c r="AF24" i="2"/>
  <c r="AG23" i="2" s="1"/>
  <c r="AG13" i="3" l="1"/>
  <c r="AG15" i="3"/>
  <c r="AG28" i="3"/>
  <c r="AG15" i="2"/>
  <c r="N9" i="2"/>
  <c r="O8" i="2"/>
  <c r="O9" i="2" l="1"/>
  <c r="P8" i="2"/>
  <c r="P9" i="2" l="1"/>
  <c r="Q8" i="2"/>
  <c r="Q9" i="2" l="1"/>
  <c r="R8" i="2"/>
  <c r="R9" i="2" l="1"/>
  <c r="S8" i="2"/>
  <c r="S9" i="2" l="1"/>
  <c r="T8" i="2"/>
  <c r="T9" i="2" l="1"/>
  <c r="U8" i="2"/>
  <c r="U9" i="2" l="1"/>
  <c r="V8" i="2"/>
  <c r="V9" i="2" l="1"/>
  <c r="W8" i="2"/>
  <c r="W9" i="2" l="1"/>
  <c r="X8" i="2"/>
  <c r="X9" i="2" l="1"/>
  <c r="Y8" i="2"/>
  <c r="Y9" i="2" l="1"/>
  <c r="Z8" i="2"/>
  <c r="Z9" i="2" l="1"/>
  <c r="AA8" i="2"/>
  <c r="AA9" i="2" l="1"/>
  <c r="AB8" i="2"/>
  <c r="AB9" i="2" l="1"/>
  <c r="AC8" i="2"/>
  <c r="AC9" i="2" l="1"/>
  <c r="AD8" i="2"/>
  <c r="AD9" i="2" l="1"/>
  <c r="AE8" i="2"/>
  <c r="AE9" i="2" s="1"/>
</calcChain>
</file>

<file path=xl/sharedStrings.xml><?xml version="1.0" encoding="utf-8"?>
<sst xmlns="http://schemas.openxmlformats.org/spreadsheetml/2006/main" count="144" uniqueCount="61">
  <si>
    <t>（日本工業規格Ａ列４番）</t>
  </si>
  <si>
    <t>　　  　    ６　１０名未満で就業規則を作成していない場合は、常勤の勤務時間を定めて記入してください。</t>
    <rPh sb="13" eb="14">
      <t>メイ</t>
    </rPh>
    <rPh sb="14" eb="16">
      <t>ミマン</t>
    </rPh>
    <rPh sb="17" eb="19">
      <t>シュウギョウ</t>
    </rPh>
    <rPh sb="19" eb="21">
      <t>キソク</t>
    </rPh>
    <rPh sb="22" eb="24">
      <t>サクセイ</t>
    </rPh>
    <rPh sb="29" eb="31">
      <t>バアイ</t>
    </rPh>
    <rPh sb="33" eb="35">
      <t>ジョウキン</t>
    </rPh>
    <rPh sb="36" eb="38">
      <t>キンム</t>
    </rPh>
    <rPh sb="38" eb="40">
      <t>ジカン</t>
    </rPh>
    <rPh sb="41" eb="42">
      <t>サダ</t>
    </rPh>
    <rPh sb="44" eb="46">
      <t>キニュウ</t>
    </rPh>
    <phoneticPr fontId="4"/>
  </si>
  <si>
    <t>　　  　    ５　算出にあたっては、小数点以下第２位を切り捨ててください。</t>
    <phoneticPr fontId="4"/>
  </si>
  <si>
    <t>　　　      ４　常勤換算が必要な職種は、常勤の従業者が４週に勤務すべき時間数で割って、「常勤換算後の人数」を算出してください。</t>
    <rPh sb="31" eb="32">
      <t>シュウ</t>
    </rPh>
    <phoneticPr fontId="4"/>
  </si>
  <si>
    <t>当該事業所の他の職種又は同一敷地内の同一法人が経営する他の事業所の職務に従事している場合。</t>
    <phoneticPr fontId="5"/>
  </si>
  <si>
    <t>兼務</t>
    <rPh sb="0" eb="2">
      <t>ケンム</t>
    </rPh>
    <phoneticPr fontId="5"/>
  </si>
  <si>
    <t>当該事業所の他の職種に従事せず、同一敷地内の同一法人が経営する他の事業所の職務に従事していない場合。</t>
    <phoneticPr fontId="5"/>
  </si>
  <si>
    <t>専従</t>
    <rPh sb="0" eb="2">
      <t>センジュウ</t>
    </rPh>
    <phoneticPr fontId="5"/>
  </si>
  <si>
    <t>この事業所における勤務時間が、「常勤職員の勤務時間数」に満たない場合は、非常勤。正規職員であっても同一法人の同一敷地内にない他の事業所を兼務している場合などは、非常勤。</t>
    <phoneticPr fontId="5"/>
  </si>
  <si>
    <t>非常勤</t>
    <rPh sb="0" eb="3">
      <t>ヒジョウキン</t>
    </rPh>
    <phoneticPr fontId="5"/>
  </si>
  <si>
    <t>正規職員、パート、派遣など雇用形態にかかわらず、「常勤職員の勤務時間数」を勤務する場合はすべて常勤。</t>
    <phoneticPr fontId="5"/>
  </si>
  <si>
    <t>常勤</t>
    <rPh sb="0" eb="2">
      <t>ジョウキン</t>
    </rPh>
    <phoneticPr fontId="4"/>
  </si>
  <si>
    <t xml:space="preserve">               勤務形態の区分　Ａ：常勤で専従　Ｂ：常勤で兼務　Ｃ：常勤以外で専従　Ｄ：常勤以外で兼務</t>
    <phoneticPr fontId="5"/>
  </si>
  <si>
    <r>
      <t>　 　        ３　</t>
    </r>
    <r>
      <rPr>
        <b/>
        <sz val="10"/>
        <color indexed="10"/>
        <rFont val="ＭＳ Ｐゴシック"/>
        <family val="2"/>
        <charset val="128"/>
      </rPr>
      <t>職種ごとに下記の勤務形態の区分の順にまとめて記載</t>
    </r>
    <r>
      <rPr>
        <sz val="10"/>
        <rFont val="ＭＳ Ｐゴシック"/>
        <family val="2"/>
        <charset val="128"/>
      </rPr>
      <t>してください。</t>
    </r>
    <phoneticPr fontId="4"/>
  </si>
  <si>
    <t>　           ２　申請する事業に係る従業者全員（管理者を含む。）について、４週間分の勤務すべき時間数を記入してください。</t>
    <phoneticPr fontId="4"/>
  </si>
  <si>
    <t>管理者と兼務</t>
  </si>
  <si>
    <t>岸本　洋幸</t>
    <rPh sb="0" eb="2">
      <t>キシモト</t>
    </rPh>
    <rPh sb="3" eb="5">
      <t>ヒロユキ</t>
    </rPh>
    <phoneticPr fontId="5"/>
  </si>
  <si>
    <t>B</t>
    <phoneticPr fontId="5"/>
  </si>
  <si>
    <t>機能訓練指導員</t>
    <rPh sb="0" eb="2">
      <t>キノウ</t>
    </rPh>
    <rPh sb="2" eb="4">
      <t>クンレン</t>
    </rPh>
    <rPh sb="4" eb="7">
      <t>シドウイン</t>
    </rPh>
    <phoneticPr fontId="5"/>
  </si>
  <si>
    <t>C</t>
    <phoneticPr fontId="5"/>
  </si>
  <si>
    <t>宇佐美友理</t>
    <rPh sb="0" eb="3">
      <t xml:space="preserve">ウサミ </t>
    </rPh>
    <rPh sb="3" eb="5">
      <t xml:space="preserve">ユリ </t>
    </rPh>
    <phoneticPr fontId="5"/>
  </si>
  <si>
    <t>坂野有希子</t>
    <rPh sb="0" eb="2">
      <t xml:space="preserve">サカノ </t>
    </rPh>
    <rPh sb="2" eb="5">
      <t xml:space="preserve">ユキコ </t>
    </rPh>
    <phoneticPr fontId="5"/>
  </si>
  <si>
    <t>江良勇矢</t>
    <rPh sb="0" eb="2">
      <t xml:space="preserve">エラ </t>
    </rPh>
    <rPh sb="2" eb="4">
      <t xml:space="preserve">ユウヤ </t>
    </rPh>
    <phoneticPr fontId="5"/>
  </si>
  <si>
    <t>A</t>
    <phoneticPr fontId="5"/>
  </si>
  <si>
    <t>岸本　朋子</t>
    <rPh sb="0" eb="2">
      <t>キシモト</t>
    </rPh>
    <rPh sb="3" eb="5">
      <t>トモコ</t>
    </rPh>
    <phoneticPr fontId="5"/>
  </si>
  <si>
    <t>介護職員</t>
    <rPh sb="0" eb="2">
      <t>カイゴ</t>
    </rPh>
    <rPh sb="2" eb="4">
      <t>ショクイン</t>
    </rPh>
    <phoneticPr fontId="5"/>
  </si>
  <si>
    <t>加藤　鮎美</t>
    <rPh sb="0" eb="2">
      <t>カトウ</t>
    </rPh>
    <rPh sb="3" eb="5">
      <t>アユミ</t>
    </rPh>
    <phoneticPr fontId="5"/>
  </si>
  <si>
    <t>生活相談員</t>
    <rPh sb="0" eb="2">
      <t>セイカツ</t>
    </rPh>
    <rPh sb="2" eb="5">
      <t>ソウダンイン</t>
    </rPh>
    <phoneticPr fontId="5"/>
  </si>
  <si>
    <t>【１単位目】</t>
    <rPh sb="2" eb="5">
      <t>イチタンイメ</t>
    </rPh>
    <phoneticPr fontId="5"/>
  </si>
  <si>
    <t>機能訓練指導員と兼務</t>
  </si>
  <si>
    <t>管理者</t>
    <rPh sb="0" eb="3">
      <t>カンリシャ</t>
    </rPh>
    <phoneticPr fontId="5"/>
  </si>
  <si>
    <t>務の内容</t>
    <rPh sb="0" eb="1">
      <t>ム</t>
    </rPh>
    <rPh sb="2" eb="4">
      <t>ナイヨウ</t>
    </rPh>
    <phoneticPr fontId="4"/>
  </si>
  <si>
    <t>人数</t>
  </si>
  <si>
    <t>合 計</t>
  </si>
  <si>
    <t>兼務する職</t>
    <rPh sb="0" eb="2">
      <t>ケンム</t>
    </rPh>
    <rPh sb="4" eb="5">
      <t>ショクム</t>
    </rPh>
    <phoneticPr fontId="4"/>
  </si>
  <si>
    <t>算後の</t>
  </si>
  <si>
    <t>氏　　名</t>
  </si>
  <si>
    <t>形態</t>
  </si>
  <si>
    <t>職　　種</t>
  </si>
  <si>
    <t>兼務先及び</t>
    <rPh sb="0" eb="2">
      <t>ケンム</t>
    </rPh>
    <rPh sb="2" eb="3">
      <t>サキ</t>
    </rPh>
    <rPh sb="3" eb="4">
      <t>オヨ</t>
    </rPh>
    <phoneticPr fontId="4"/>
  </si>
  <si>
    <t>常勤換</t>
  </si>
  <si>
    <t>４週の</t>
  </si>
  <si>
    <t>　　　第　　４　　週</t>
  </si>
  <si>
    <t>　　　第　　３　　週</t>
  </si>
  <si>
    <t>　　　第　　２　　週</t>
  </si>
  <si>
    <t>　　　第　　１　　週</t>
  </si>
  <si>
    <t>勤務</t>
  </si>
  <si>
    <t>（常勤職員の勤務時間は事業所の就業規則を確認して記載してください。）</t>
    <rPh sb="1" eb="3">
      <t>ジョウキン</t>
    </rPh>
    <rPh sb="3" eb="5">
      <t>ショクイン</t>
    </rPh>
    <rPh sb="6" eb="8">
      <t>キンム</t>
    </rPh>
    <rPh sb="8" eb="10">
      <t>ジカン</t>
    </rPh>
    <rPh sb="11" eb="14">
      <t>ジギョウショ</t>
    </rPh>
    <rPh sb="15" eb="17">
      <t>シュウギョウ</t>
    </rPh>
    <rPh sb="17" eb="19">
      <t>キソク</t>
    </rPh>
    <rPh sb="20" eb="22">
      <t>カクニン</t>
    </rPh>
    <rPh sb="24" eb="26">
      <t>キサイ</t>
    </rPh>
    <phoneticPr fontId="4"/>
  </si>
  <si>
    <t>時間</t>
    <rPh sb="0" eb="2">
      <t>ジカン</t>
    </rPh>
    <phoneticPr fontId="4"/>
  </si>
  <si>
    <t>４週</t>
    <rPh sb="1" eb="2">
      <t>シュウ</t>
    </rPh>
    <phoneticPr fontId="4"/>
  </si>
  <si>
    <t>１日</t>
    <rPh sb="1" eb="2">
      <t>ニチ</t>
    </rPh>
    <phoneticPr fontId="4"/>
  </si>
  <si>
    <t>常勤職員の勤務時間</t>
    <rPh sb="0" eb="2">
      <t>ジョウキン</t>
    </rPh>
    <rPh sb="2" eb="4">
      <t>ショクイン</t>
    </rPh>
    <rPh sb="5" eb="7">
      <t>キンム</t>
    </rPh>
    <rPh sb="7" eb="9">
      <t>ジカン</t>
    </rPh>
    <phoneticPr fontId="4"/>
  </si>
  <si>
    <t>事業所名　 　（機能訓練型デイサービス　ココカラプラス）</t>
    <rPh sb="8" eb="13">
      <t>キノウクンレンガタ</t>
    </rPh>
    <phoneticPr fontId="5"/>
  </si>
  <si>
    <t>サービス種類（　地域密着型通所介護・介護予防通所サービス　）</t>
  </si>
  <si>
    <t>予定</t>
    <rPh sb="0" eb="2">
      <t>ヨテイ</t>
    </rPh>
    <phoneticPr fontId="5"/>
  </si>
  <si>
    <t>従業者の勤務の体制及び勤務形態一覧表</t>
  </si>
  <si>
    <t>（参考様式４）</t>
    <phoneticPr fontId="5"/>
  </si>
  <si>
    <t>加藤　鮎美</t>
  </si>
  <si>
    <t>【２単位目】</t>
    <rPh sb="2" eb="5">
      <t>イチタンイメ</t>
    </rPh>
    <phoneticPr fontId="5"/>
  </si>
  <si>
    <t>（令和８年７月分）</t>
    <rPh sb="1" eb="3">
      <t xml:space="preserve">レイワ </t>
    </rPh>
    <phoneticPr fontId="5"/>
  </si>
  <si>
    <t>勤務予定（令和８年７月分）</t>
    <rPh sb="0" eb="4">
      <t xml:space="preserve">キンムヨテイ </t>
    </rPh>
    <rPh sb="5" eb="7">
      <t xml:space="preserve">レイワ </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</si>
</sst>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_);[Red]\(0.00\)"/>
    <numFmt numFmtId="177" formatCode="0_);[Red]\(0\)"/>
    <numFmt numFmtId="178" formatCode="0.0_);[Red]\(0.0\)"/>
    <numFmt numFmtId="179" formatCode="aaa"/>
    <numFmt numFmtId="180" formatCode="d"/>
    <numFmt numFmtId="181" formatCode="#,##0.00_);[Red]\(#,##0.00\)"/>
    <numFmt numFmtId="182" formatCode="h:mm;@"/>
  </numFmts>
  <fonts count="24">
    <font>
      <sz val="12"/>
      <color theme="1"/>
      <name val="游ゴシック"/>
      <family val="2"/>
      <charset val="128"/>
      <scheme val="minor"/>
    </font>
    <font>
      <sz val="10"/>
      <name val="ＭＳ Ｐ明朝"/>
      <family val="1"/>
      <charset val="128"/>
    </font>
    <font>
      <sz val="10"/>
      <name val="游ゴシック"/>
      <family val="2"/>
      <charset val="128"/>
      <scheme val="minor"/>
    </font>
    <font>
      <sz val="6"/>
      <name val="游ゴシック"/>
      <family val="2"/>
      <charset val="128"/>
      <scheme val="minor"/>
    </font>
    <font>
      <sz val="6"/>
      <name val="ＭＳ Ｐゴシック"/>
      <family val="2"/>
      <charset val="128"/>
    </font>
    <font>
      <sz val="6"/>
      <name val="ＭＳ Ｐ明朝"/>
      <family val="1"/>
      <charset val="128"/>
    </font>
    <font>
      <sz val="10"/>
      <color indexed="10"/>
      <name val="游ゴシック"/>
      <family val="2"/>
      <charset val="128"/>
      <scheme val="minor"/>
    </font>
    <font>
      <sz val="11"/>
      <color indexed="10"/>
      <name val="游ゴシック"/>
      <family val="2"/>
      <charset val="128"/>
      <scheme val="minor"/>
    </font>
    <font>
      <b/>
      <sz val="11"/>
      <name val="游ゴシック"/>
      <family val="2"/>
      <charset val="128"/>
      <scheme val="minor"/>
    </font>
    <font>
      <b/>
      <sz val="11"/>
      <name val="ＭＳ Ｐゴシック"/>
      <family val="2"/>
      <charset val="128"/>
    </font>
    <font>
      <b/>
      <sz val="10"/>
      <color indexed="10"/>
      <name val="ＭＳ Ｐゴシック"/>
      <family val="2"/>
      <charset val="128"/>
    </font>
    <font>
      <sz val="10"/>
      <name val="ＭＳ Ｐゴシック"/>
      <family val="2"/>
      <charset val="128"/>
    </font>
    <font>
      <sz val="10"/>
      <color theme="1"/>
      <name val="游ゴシック"/>
      <family val="2"/>
      <charset val="128"/>
      <scheme val="minor"/>
    </font>
    <font>
      <sz val="10"/>
      <color theme="1"/>
      <name val="ＭＳ Ｐゴシック"/>
      <family val="2"/>
      <charset val="128"/>
    </font>
    <font>
      <sz val="9"/>
      <name val="游ゴシック"/>
      <family val="2"/>
      <charset val="128"/>
      <scheme val="minor"/>
    </font>
    <font>
      <sz val="9"/>
      <name val="ＭＳ Ｐゴシック"/>
      <family val="2"/>
      <charset val="128"/>
    </font>
    <font>
      <sz val="8"/>
      <name val="游ゴシック"/>
      <family val="2"/>
      <charset val="128"/>
      <scheme val="minor"/>
    </font>
    <font>
      <sz val="11"/>
      <name val="游ゴシック"/>
      <family val="2"/>
      <charset val="128"/>
      <scheme val="minor"/>
    </font>
    <font>
      <b/>
      <sz val="12"/>
      <name val="游ゴシック"/>
      <family val="2"/>
      <charset val="128"/>
      <scheme val="minor"/>
    </font>
    <font>
      <b/>
      <sz val="14"/>
      <name val="游ゴシック"/>
      <family val="2"/>
      <charset val="128"/>
      <scheme val="minor"/>
    </font>
    <font>
      <b/>
      <sz val="9"/>
      <name val="游ゴシック"/>
      <family val="2"/>
      <charset val="128"/>
      <scheme val="minor"/>
    </font>
    <font>
      <sz val="10"/>
      <color rgb="FFFF0000"/>
      <name val="ＭＳ Ｐゴシック"/>
      <family val="2"/>
      <charset val="128"/>
    </font>
    <font>
      <sz val="10"/>
      <color theme="9" tint="0.79998168889431442"/>
      <name val="ＭＳ Ｐゴシック"/>
      <family val="2"/>
      <charset val="128"/>
    </font>
    <font>
      <sz val="10"/>
      <color theme="9" tint="0.79998168889431442"/>
      <name val="游ゴシック"/>
      <family val="2"/>
      <charset val="128"/>
      <scheme val="minor"/>
    </font>
  </fonts>
  <fills count="9">
    <fill>
      <patternFill patternType="none"/>
    </fill>
    <fill>
      <patternFill patternType="gray125"/>
    </fill>
    <fill>
      <patternFill patternType="solid">
        <fgColor indexed="2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C5D9F1"/>
        <bgColor rgb="FF000000"/>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9" tint="0.79998168889431442"/>
        <bgColor rgb="FF000000"/>
      </patternFill>
    </fill>
  </fills>
  <borders count="42">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style="double">
        <color indexed="64"/>
      </left>
      <right style="medium">
        <color indexed="64"/>
      </right>
      <top/>
      <bottom style="medium">
        <color indexed="64"/>
      </bottom>
      <diagonal/>
    </border>
    <border>
      <left/>
      <right style="double">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double">
        <color indexed="64"/>
      </left>
      <right style="medium">
        <color indexed="64"/>
      </right>
      <top style="thin">
        <color indexed="64"/>
      </top>
      <bottom/>
      <diagonal/>
    </border>
    <border>
      <left/>
      <right style="double">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double">
        <color indexed="64"/>
      </left>
      <right style="medium">
        <color indexed="64"/>
      </right>
      <top/>
      <bottom style="thin">
        <color indexed="64"/>
      </bottom>
      <diagonal/>
    </border>
    <border>
      <left style="double">
        <color indexed="64"/>
      </left>
      <right style="medium">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right style="double">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style="thin">
        <color indexed="64"/>
      </left>
      <right style="thin">
        <color indexed="64"/>
      </right>
      <top/>
      <bottom/>
      <diagonal/>
    </border>
    <border>
      <left style="medium">
        <color indexed="64"/>
      </left>
      <right/>
      <top/>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2">
    <xf numFmtId="0" fontId="0" fillId="0" borderId="0">
      <alignment vertical="center"/>
    </xf>
    <xf numFmtId="0" fontId="1" fillId="0" borderId="0"/>
  </cellStyleXfs>
  <cellXfs count="155">
    <xf numFmtId="0" fontId="0" fillId="0" borderId="0" xfId="0">
      <alignment vertical="center"/>
    </xf>
    <xf numFmtId="0" fontId="2" fillId="0" borderId="0" xfId="1" applyFont="1"/>
    <xf numFmtId="0" fontId="2" fillId="0" borderId="0" xfId="1" applyFont="1" applyAlignment="1">
      <alignment horizontal="left"/>
    </xf>
    <xf numFmtId="0" fontId="2" fillId="2" borderId="1" xfId="1" applyFont="1" applyFill="1" applyBorder="1" applyAlignment="1">
      <alignment horizontal="left"/>
    </xf>
    <xf numFmtId="0" fontId="2" fillId="2" borderId="2" xfId="1" applyFont="1" applyFill="1" applyBorder="1" applyAlignment="1">
      <alignment horizontal="left"/>
    </xf>
    <xf numFmtId="0" fontId="2" fillId="2" borderId="3" xfId="1" applyFont="1" applyFill="1" applyBorder="1" applyAlignment="1">
      <alignment horizontal="left"/>
    </xf>
    <xf numFmtId="0" fontId="6" fillId="0" borderId="4" xfId="1" applyFont="1" applyBorder="1" applyAlignment="1">
      <alignment horizontal="right"/>
    </xf>
    <xf numFmtId="0" fontId="2" fillId="0" borderId="1" xfId="1" applyFont="1" applyBorder="1"/>
    <xf numFmtId="0" fontId="2" fillId="0" borderId="2" xfId="1" applyFont="1" applyBorder="1"/>
    <xf numFmtId="0" fontId="2" fillId="2" borderId="3" xfId="1" applyFont="1" applyFill="1" applyBorder="1" applyAlignment="1">
      <alignment horizontal="left" wrapText="1"/>
    </xf>
    <xf numFmtId="0" fontId="7" fillId="0" borderId="4" xfId="1" applyFont="1" applyBorder="1" applyAlignment="1">
      <alignment horizontal="right"/>
    </xf>
    <xf numFmtId="0" fontId="8" fillId="0" borderId="0" xfId="1" applyFont="1"/>
    <xf numFmtId="0" fontId="9" fillId="0" borderId="0" xfId="1" applyFont="1"/>
    <xf numFmtId="0" fontId="11" fillId="0" borderId="5" xfId="1" applyFont="1" applyBorder="1"/>
    <xf numFmtId="176" fontId="12" fillId="0" borderId="6" xfId="1" applyNumberFormat="1" applyFont="1" applyBorder="1" applyAlignment="1">
      <alignment horizontal="center" vertical="center"/>
    </xf>
    <xf numFmtId="177" fontId="12" fillId="0" borderId="7" xfId="1" applyNumberFormat="1" applyFont="1" applyBorder="1" applyAlignment="1">
      <alignment horizontal="center" vertical="center"/>
    </xf>
    <xf numFmtId="178" fontId="11" fillId="0" borderId="8" xfId="1" applyNumberFormat="1" applyFont="1" applyBorder="1" applyAlignment="1">
      <alignment horizontal="center" vertical="center"/>
    </xf>
    <xf numFmtId="178" fontId="11" fillId="0" borderId="9" xfId="1" applyNumberFormat="1" applyFont="1" applyBorder="1" applyAlignment="1">
      <alignment horizontal="center" vertical="center"/>
    </xf>
    <xf numFmtId="178" fontId="13" fillId="0" borderId="8" xfId="1" applyNumberFormat="1" applyFont="1" applyBorder="1" applyAlignment="1">
      <alignment horizontal="center" vertical="center"/>
    </xf>
    <xf numFmtId="178" fontId="13" fillId="0" borderId="9" xfId="1" applyNumberFormat="1" applyFont="1" applyBorder="1" applyAlignment="1">
      <alignment horizontal="center" vertical="center"/>
    </xf>
    <xf numFmtId="0" fontId="2" fillId="0" borderId="10" xfId="1" applyFont="1" applyBorder="1" applyAlignment="1">
      <alignment vertical="center"/>
    </xf>
    <xf numFmtId="0" fontId="2" fillId="0" borderId="11" xfId="1" applyFont="1" applyBorder="1" applyAlignment="1">
      <alignment horizontal="center" vertical="center"/>
    </xf>
    <xf numFmtId="0" fontId="2" fillId="0" borderId="12" xfId="1" applyFont="1" applyBorder="1" applyAlignment="1">
      <alignment horizontal="left" vertical="center"/>
    </xf>
    <xf numFmtId="0" fontId="11" fillId="0" borderId="13" xfId="1" applyFont="1" applyBorder="1"/>
    <xf numFmtId="176" fontId="12" fillId="0" borderId="14" xfId="1" applyNumberFormat="1" applyFont="1" applyBorder="1" applyAlignment="1">
      <alignment horizontal="center" vertical="center"/>
    </xf>
    <xf numFmtId="177" fontId="12" fillId="0" borderId="15" xfId="1" applyNumberFormat="1" applyFont="1" applyBorder="1" applyAlignment="1">
      <alignment horizontal="center" vertical="center"/>
    </xf>
    <xf numFmtId="178" fontId="13" fillId="0" borderId="16" xfId="1" applyNumberFormat="1" applyFont="1" applyBorder="1" applyAlignment="1">
      <alignment horizontal="center" vertical="center"/>
    </xf>
    <xf numFmtId="178" fontId="13" fillId="0" borderId="1" xfId="1" applyNumberFormat="1" applyFont="1" applyBorder="1" applyAlignment="1">
      <alignment horizontal="center" vertical="center"/>
    </xf>
    <xf numFmtId="178" fontId="11" fillId="0" borderId="1" xfId="1" applyNumberFormat="1" applyFont="1" applyBorder="1" applyAlignment="1">
      <alignment horizontal="center" vertical="center"/>
    </xf>
    <xf numFmtId="0" fontId="2" fillId="0" borderId="16" xfId="1" applyFont="1" applyBorder="1" applyAlignment="1">
      <alignment vertical="center"/>
    </xf>
    <xf numFmtId="0" fontId="2" fillId="0" borderId="17" xfId="1" applyFont="1" applyBorder="1" applyAlignment="1">
      <alignment horizontal="center" vertical="center"/>
    </xf>
    <xf numFmtId="0" fontId="14" fillId="0" borderId="18" xfId="1" applyFont="1" applyBorder="1" applyAlignment="1">
      <alignment horizontal="left" vertical="center"/>
    </xf>
    <xf numFmtId="176" fontId="12" fillId="0" borderId="19" xfId="1" applyNumberFormat="1" applyFont="1" applyBorder="1" applyAlignment="1">
      <alignment horizontal="center" vertical="center"/>
    </xf>
    <xf numFmtId="178" fontId="11" fillId="0" borderId="16" xfId="1" applyNumberFormat="1" applyFont="1" applyBorder="1" applyAlignment="1">
      <alignment horizontal="center" vertical="center"/>
    </xf>
    <xf numFmtId="0" fontId="2" fillId="0" borderId="18" xfId="1" applyFont="1" applyBorder="1" applyAlignment="1">
      <alignment horizontal="left" vertical="center"/>
    </xf>
    <xf numFmtId="176" fontId="12" fillId="0" borderId="20" xfId="1" applyNumberFormat="1" applyFont="1" applyBorder="1" applyAlignment="1">
      <alignment horizontal="center" vertical="center"/>
    </xf>
    <xf numFmtId="178" fontId="13" fillId="0" borderId="17" xfId="1" applyNumberFormat="1" applyFont="1" applyBorder="1" applyAlignment="1">
      <alignment vertical="center"/>
    </xf>
    <xf numFmtId="178" fontId="13" fillId="0" borderId="16" xfId="1" applyNumberFormat="1" applyFont="1" applyBorder="1" applyAlignment="1">
      <alignment vertical="center"/>
    </xf>
    <xf numFmtId="178" fontId="11" fillId="0" borderId="1" xfId="1" applyNumberFormat="1" applyFont="1" applyBorder="1" applyAlignment="1">
      <alignment vertical="center"/>
    </xf>
    <xf numFmtId="176" fontId="12" fillId="0" borderId="21" xfId="1" applyNumberFormat="1" applyFont="1" applyBorder="1" applyAlignment="1">
      <alignment horizontal="center" vertical="center"/>
    </xf>
    <xf numFmtId="176" fontId="12" fillId="0" borderId="22" xfId="1" applyNumberFormat="1" applyFont="1" applyBorder="1" applyAlignment="1">
      <alignment horizontal="center" vertical="center"/>
    </xf>
    <xf numFmtId="0" fontId="11" fillId="0" borderId="16" xfId="1" applyFont="1" applyBorder="1" applyAlignment="1">
      <alignment vertical="center"/>
    </xf>
    <xf numFmtId="176" fontId="12" fillId="0" borderId="23" xfId="1" applyNumberFormat="1" applyFont="1" applyBorder="1" applyAlignment="1">
      <alignment horizontal="center" vertical="center"/>
    </xf>
    <xf numFmtId="177" fontId="12" fillId="0" borderId="24" xfId="1" applyNumberFormat="1" applyFont="1" applyBorder="1" applyAlignment="1">
      <alignment horizontal="center" vertical="center"/>
    </xf>
    <xf numFmtId="178" fontId="11" fillId="0" borderId="25" xfId="1" applyNumberFormat="1" applyFont="1" applyBorder="1" applyAlignment="1">
      <alignment horizontal="center" vertical="center"/>
    </xf>
    <xf numFmtId="178" fontId="11" fillId="0" borderId="26" xfId="1" applyNumberFormat="1" applyFont="1" applyBorder="1" applyAlignment="1">
      <alignment horizontal="center" vertical="center"/>
    </xf>
    <xf numFmtId="178" fontId="11" fillId="0" borderId="17" xfId="1" applyNumberFormat="1" applyFont="1" applyBorder="1" applyAlignment="1">
      <alignment vertical="center" textRotation="255"/>
    </xf>
    <xf numFmtId="178" fontId="11" fillId="0" borderId="1" xfId="1" applyNumberFormat="1" applyFont="1" applyBorder="1" applyAlignment="1">
      <alignment vertical="center" textRotation="255"/>
    </xf>
    <xf numFmtId="178" fontId="13" fillId="0" borderId="25" xfId="1" applyNumberFormat="1" applyFont="1" applyBorder="1" applyAlignment="1">
      <alignment horizontal="center" vertical="center"/>
    </xf>
    <xf numFmtId="178" fontId="13" fillId="0" borderId="26" xfId="1" applyNumberFormat="1" applyFont="1" applyBorder="1" applyAlignment="1">
      <alignment horizontal="center" vertical="center"/>
    </xf>
    <xf numFmtId="178" fontId="13" fillId="0" borderId="17" xfId="1" applyNumberFormat="1" applyFont="1" applyBorder="1" applyAlignment="1">
      <alignment vertical="center" textRotation="255"/>
    </xf>
    <xf numFmtId="0" fontId="2" fillId="0" borderId="25" xfId="1" applyFont="1" applyBorder="1" applyAlignment="1">
      <alignment vertical="center"/>
    </xf>
    <xf numFmtId="0" fontId="2" fillId="0" borderId="21" xfId="1" applyFont="1" applyBorder="1" applyAlignment="1">
      <alignment horizontal="center" vertical="center"/>
    </xf>
    <xf numFmtId="0" fontId="2" fillId="0" borderId="27" xfId="1" applyFont="1" applyBorder="1" applyAlignment="1">
      <alignment horizontal="left" vertical="center"/>
    </xf>
    <xf numFmtId="176" fontId="12" fillId="3" borderId="20" xfId="1" applyNumberFormat="1" applyFont="1" applyFill="1" applyBorder="1" applyAlignment="1">
      <alignment horizontal="center" vertical="center"/>
    </xf>
    <xf numFmtId="177" fontId="12" fillId="3" borderId="15" xfId="1" applyNumberFormat="1" applyFont="1" applyFill="1" applyBorder="1" applyAlignment="1">
      <alignment horizontal="center" vertical="center"/>
    </xf>
    <xf numFmtId="178" fontId="13" fillId="3" borderId="16" xfId="1" applyNumberFormat="1" applyFont="1" applyFill="1" applyBorder="1" applyAlignment="1">
      <alignment vertical="center"/>
    </xf>
    <xf numFmtId="178" fontId="13" fillId="3" borderId="17" xfId="1" applyNumberFormat="1" applyFont="1" applyFill="1" applyBorder="1" applyAlignment="1">
      <alignment vertical="center"/>
    </xf>
    <xf numFmtId="178" fontId="11" fillId="3" borderId="1" xfId="1" applyNumberFormat="1" applyFont="1" applyFill="1" applyBorder="1" applyAlignment="1">
      <alignment vertical="center"/>
    </xf>
    <xf numFmtId="0" fontId="2" fillId="3" borderId="16" xfId="1" applyFont="1" applyFill="1" applyBorder="1" applyAlignment="1">
      <alignment vertical="center"/>
    </xf>
    <xf numFmtId="0" fontId="2" fillId="3" borderId="17" xfId="1" applyFont="1" applyFill="1" applyBorder="1" applyAlignment="1">
      <alignment horizontal="center" vertical="center"/>
    </xf>
    <xf numFmtId="0" fontId="2" fillId="3" borderId="18" xfId="1" applyFont="1" applyFill="1" applyBorder="1" applyAlignment="1">
      <alignment horizontal="left" vertical="center"/>
    </xf>
    <xf numFmtId="176" fontId="12" fillId="3" borderId="14" xfId="1" applyNumberFormat="1" applyFont="1" applyFill="1" applyBorder="1" applyAlignment="1">
      <alignment horizontal="center" vertical="center"/>
    </xf>
    <xf numFmtId="178" fontId="13" fillId="3" borderId="16" xfId="1" applyNumberFormat="1" applyFont="1" applyFill="1" applyBorder="1" applyAlignment="1">
      <alignment horizontal="center" vertical="center"/>
    </xf>
    <xf numFmtId="178" fontId="13" fillId="3" borderId="1" xfId="1" applyNumberFormat="1" applyFont="1" applyFill="1" applyBorder="1" applyAlignment="1">
      <alignment horizontal="center" vertical="center"/>
    </xf>
    <xf numFmtId="178" fontId="11" fillId="3" borderId="1" xfId="1" applyNumberFormat="1" applyFont="1" applyFill="1" applyBorder="1" applyAlignment="1">
      <alignment horizontal="center" vertical="center"/>
    </xf>
    <xf numFmtId="0" fontId="2" fillId="3" borderId="23" xfId="1" applyFont="1" applyFill="1" applyBorder="1" applyAlignment="1">
      <alignment vertical="center"/>
    </xf>
    <xf numFmtId="0" fontId="14" fillId="3" borderId="18" xfId="1" applyFont="1" applyFill="1" applyBorder="1" applyAlignment="1">
      <alignment horizontal="left" vertical="center"/>
    </xf>
    <xf numFmtId="176" fontId="12" fillId="4" borderId="19" xfId="1" applyNumberFormat="1" applyFont="1" applyFill="1" applyBorder="1" applyAlignment="1">
      <alignment horizontal="center" vertical="center"/>
    </xf>
    <xf numFmtId="177" fontId="12" fillId="4" borderId="15" xfId="1" applyNumberFormat="1" applyFont="1" applyFill="1" applyBorder="1" applyAlignment="1">
      <alignment horizontal="center" vertical="center"/>
    </xf>
    <xf numFmtId="178" fontId="13" fillId="4" borderId="16" xfId="1" applyNumberFormat="1" applyFont="1" applyFill="1" applyBorder="1" applyAlignment="1">
      <alignment horizontal="center" vertical="center"/>
    </xf>
    <xf numFmtId="178" fontId="13" fillId="4" borderId="1" xfId="1" applyNumberFormat="1" applyFont="1" applyFill="1" applyBorder="1" applyAlignment="1">
      <alignment horizontal="center" vertical="center"/>
    </xf>
    <xf numFmtId="178" fontId="13" fillId="5" borderId="1" xfId="1" applyNumberFormat="1" applyFont="1" applyFill="1" applyBorder="1" applyAlignment="1">
      <alignment horizontal="center" vertical="center"/>
    </xf>
    <xf numFmtId="178" fontId="13" fillId="4" borderId="17" xfId="1" applyNumberFormat="1" applyFont="1" applyFill="1" applyBorder="1" applyAlignment="1">
      <alignment vertical="center" textRotation="255"/>
    </xf>
    <xf numFmtId="178" fontId="15" fillId="4" borderId="1" xfId="1" applyNumberFormat="1" applyFont="1" applyFill="1" applyBorder="1" applyAlignment="1">
      <alignment horizontal="center" vertical="center"/>
    </xf>
    <xf numFmtId="0" fontId="2" fillId="4" borderId="16" xfId="1" applyFont="1" applyFill="1" applyBorder="1" applyAlignment="1">
      <alignment vertical="center"/>
    </xf>
    <xf numFmtId="0" fontId="2" fillId="4" borderId="17" xfId="1" applyFont="1" applyFill="1" applyBorder="1" applyAlignment="1">
      <alignment horizontal="center" vertical="center"/>
    </xf>
    <xf numFmtId="0" fontId="2" fillId="4" borderId="18" xfId="1" applyFont="1" applyFill="1" applyBorder="1" applyAlignment="1">
      <alignment horizontal="left" vertical="center"/>
    </xf>
    <xf numFmtId="176" fontId="12" fillId="4" borderId="20" xfId="1" applyNumberFormat="1" applyFont="1" applyFill="1" applyBorder="1" applyAlignment="1">
      <alignment horizontal="center" vertical="center"/>
    </xf>
    <xf numFmtId="178" fontId="13" fillId="4" borderId="16" xfId="1" applyNumberFormat="1" applyFont="1" applyFill="1" applyBorder="1" applyAlignment="1">
      <alignment vertical="center"/>
    </xf>
    <xf numFmtId="178" fontId="13" fillId="4" borderId="17" xfId="1" applyNumberFormat="1" applyFont="1" applyFill="1" applyBorder="1" applyAlignment="1">
      <alignment vertical="center"/>
    </xf>
    <xf numFmtId="178" fontId="11" fillId="4" borderId="1" xfId="1" applyNumberFormat="1" applyFont="1" applyFill="1" applyBorder="1" applyAlignment="1">
      <alignment vertical="center"/>
    </xf>
    <xf numFmtId="178" fontId="11" fillId="4" borderId="1" xfId="1" applyNumberFormat="1" applyFont="1" applyFill="1" applyBorder="1" applyAlignment="1">
      <alignment horizontal="center" vertical="center"/>
    </xf>
    <xf numFmtId="176" fontId="12" fillId="4" borderId="14" xfId="1" applyNumberFormat="1" applyFont="1" applyFill="1" applyBorder="1" applyAlignment="1">
      <alignment horizontal="center" vertical="center"/>
    </xf>
    <xf numFmtId="176" fontId="12" fillId="6" borderId="21" xfId="1" applyNumberFormat="1" applyFont="1" applyFill="1" applyBorder="1" applyAlignment="1">
      <alignment horizontal="center" vertical="center"/>
    </xf>
    <xf numFmtId="177" fontId="12" fillId="6" borderId="15" xfId="1" applyNumberFormat="1" applyFont="1" applyFill="1" applyBorder="1" applyAlignment="1">
      <alignment horizontal="center" vertical="center"/>
    </xf>
    <xf numFmtId="178" fontId="13" fillId="6" borderId="16" xfId="1" applyNumberFormat="1" applyFont="1" applyFill="1" applyBorder="1" applyAlignment="1">
      <alignment horizontal="center" vertical="center"/>
    </xf>
    <xf numFmtId="178" fontId="13" fillId="6" borderId="1" xfId="1" applyNumberFormat="1" applyFont="1" applyFill="1" applyBorder="1" applyAlignment="1">
      <alignment horizontal="center" vertical="center"/>
    </xf>
    <xf numFmtId="0" fontId="2" fillId="6" borderId="16" xfId="1" applyFont="1" applyFill="1" applyBorder="1" applyAlignment="1">
      <alignment vertical="center"/>
    </xf>
    <xf numFmtId="0" fontId="2" fillId="6" borderId="17" xfId="1" applyFont="1" applyFill="1" applyBorder="1" applyAlignment="1">
      <alignment horizontal="center" vertical="center"/>
    </xf>
    <xf numFmtId="0" fontId="2" fillId="6" borderId="18" xfId="1" applyFont="1" applyFill="1" applyBorder="1" applyAlignment="1">
      <alignment horizontal="left" vertical="center"/>
    </xf>
    <xf numFmtId="176" fontId="12" fillId="6" borderId="22" xfId="1" applyNumberFormat="1" applyFont="1" applyFill="1" applyBorder="1" applyAlignment="1">
      <alignment horizontal="center" vertical="center"/>
    </xf>
    <xf numFmtId="0" fontId="11" fillId="0" borderId="29" xfId="1" applyFont="1" applyBorder="1"/>
    <xf numFmtId="176" fontId="12" fillId="7" borderId="17" xfId="1" applyNumberFormat="1" applyFont="1" applyFill="1" applyBorder="1" applyAlignment="1">
      <alignment horizontal="center" vertical="center"/>
    </xf>
    <xf numFmtId="177" fontId="12" fillId="7" borderId="24" xfId="1" applyNumberFormat="1" applyFont="1" applyFill="1" applyBorder="1" applyAlignment="1">
      <alignment horizontal="center" vertical="center"/>
    </xf>
    <xf numFmtId="178" fontId="13" fillId="7" borderId="30" xfId="1" applyNumberFormat="1" applyFont="1" applyFill="1" applyBorder="1" applyAlignment="1">
      <alignment horizontal="center" vertical="center"/>
    </xf>
    <xf numFmtId="178" fontId="13" fillId="7" borderId="31" xfId="1" applyNumberFormat="1" applyFont="1" applyFill="1" applyBorder="1" applyAlignment="1">
      <alignment horizontal="center" vertical="center"/>
    </xf>
    <xf numFmtId="178" fontId="11" fillId="7" borderId="31" xfId="1" applyNumberFormat="1" applyFont="1" applyFill="1" applyBorder="1" applyAlignment="1">
      <alignment horizontal="center" vertical="center"/>
    </xf>
    <xf numFmtId="0" fontId="2" fillId="7" borderId="25" xfId="1" applyFont="1" applyFill="1" applyBorder="1" applyAlignment="1">
      <alignment vertical="center"/>
    </xf>
    <xf numFmtId="0" fontId="2" fillId="7" borderId="21" xfId="1" applyFont="1" applyFill="1" applyBorder="1" applyAlignment="1">
      <alignment horizontal="center" vertical="center"/>
    </xf>
    <xf numFmtId="0" fontId="2" fillId="7" borderId="27" xfId="1" applyFont="1" applyFill="1" applyBorder="1" applyAlignment="1">
      <alignment horizontal="left" vertical="center"/>
    </xf>
    <xf numFmtId="0" fontId="2" fillId="0" borderId="5" xfId="1" applyFont="1" applyBorder="1" applyAlignment="1">
      <alignment horizontal="distributed"/>
    </xf>
    <xf numFmtId="0" fontId="14" fillId="0" borderId="10" xfId="1" applyFont="1" applyBorder="1"/>
    <xf numFmtId="0" fontId="2" fillId="0" borderId="10" xfId="1" applyFont="1" applyBorder="1"/>
    <xf numFmtId="0" fontId="11" fillId="0" borderId="8" xfId="1" applyFont="1" applyBorder="1" applyAlignment="1">
      <alignment horizontal="center"/>
    </xf>
    <xf numFmtId="0" fontId="11" fillId="0" borderId="9" xfId="1" applyFont="1" applyBorder="1" applyAlignment="1">
      <alignment horizontal="center"/>
    </xf>
    <xf numFmtId="179" fontId="11" fillId="0" borderId="9" xfId="1" applyNumberFormat="1" applyFont="1" applyBorder="1" applyAlignment="1">
      <alignment horizontal="center"/>
    </xf>
    <xf numFmtId="179" fontId="11" fillId="0" borderId="12" xfId="1" applyNumberFormat="1" applyFont="1" applyBorder="1" applyAlignment="1">
      <alignment horizontal="center"/>
    </xf>
    <xf numFmtId="0" fontId="2" fillId="0" borderId="32" xfId="1" applyFont="1" applyBorder="1"/>
    <xf numFmtId="0" fontId="2" fillId="0" borderId="33" xfId="1" applyFont="1" applyBorder="1"/>
    <xf numFmtId="0" fontId="2" fillId="0" borderId="13" xfId="1" applyFont="1" applyBorder="1" applyAlignment="1">
      <alignment horizontal="distributed"/>
    </xf>
    <xf numFmtId="0" fontId="14" fillId="0" borderId="23" xfId="1" applyFont="1" applyBorder="1"/>
    <xf numFmtId="0" fontId="2" fillId="0" borderId="23" xfId="1" applyFont="1" applyBorder="1"/>
    <xf numFmtId="180" fontId="2" fillId="0" borderId="28" xfId="1" applyNumberFormat="1" applyFont="1" applyBorder="1" applyAlignment="1">
      <alignment horizontal="center"/>
    </xf>
    <xf numFmtId="180" fontId="2" fillId="0" borderId="1" xfId="1" applyNumberFormat="1" applyFont="1" applyBorder="1" applyAlignment="1">
      <alignment horizontal="center"/>
    </xf>
    <xf numFmtId="180" fontId="2" fillId="0" borderId="18" xfId="1" applyNumberFormat="1" applyFont="1" applyBorder="1" applyAlignment="1">
      <alignment horizontal="center"/>
    </xf>
    <xf numFmtId="0" fontId="2" fillId="0" borderId="23" xfId="1" applyFont="1" applyBorder="1" applyAlignment="1">
      <alignment horizontal="center"/>
    </xf>
    <xf numFmtId="0" fontId="16" fillId="0" borderId="34" xfId="1" applyFont="1" applyBorder="1"/>
    <xf numFmtId="0" fontId="17" fillId="0" borderId="35" xfId="1" applyFont="1" applyBorder="1" applyAlignment="1">
      <alignment horizontal="center"/>
    </xf>
    <xf numFmtId="0" fontId="2" fillId="0" borderId="29" xfId="1" applyFont="1" applyBorder="1" applyAlignment="1">
      <alignment horizontal="distributed"/>
    </xf>
    <xf numFmtId="0" fontId="14" fillId="0" borderId="36" xfId="1" applyFont="1" applyBorder="1"/>
    <xf numFmtId="0" fontId="2" fillId="0" borderId="36" xfId="1" applyFont="1" applyBorder="1"/>
    <xf numFmtId="0" fontId="2" fillId="0" borderId="37" xfId="1" applyFont="1" applyBorder="1" applyAlignment="1">
      <alignment horizontal="center"/>
    </xf>
    <xf numFmtId="0" fontId="2" fillId="0" borderId="38" xfId="1" applyFont="1" applyBorder="1" applyAlignment="1">
      <alignment horizontal="center"/>
    </xf>
    <xf numFmtId="0" fontId="2" fillId="0" borderId="39" xfId="1" applyFont="1" applyBorder="1" applyAlignment="1">
      <alignment horizontal="center"/>
    </xf>
    <xf numFmtId="0" fontId="16" fillId="0" borderId="40" xfId="1" applyFont="1" applyBorder="1"/>
    <xf numFmtId="0" fontId="2" fillId="0" borderId="41" xfId="1" applyFont="1" applyBorder="1"/>
    <xf numFmtId="181" fontId="14" fillId="0" borderId="0" xfId="1" applyNumberFormat="1" applyFont="1" applyAlignment="1">
      <alignment horizontal="center" vertical="center"/>
    </xf>
    <xf numFmtId="0" fontId="14" fillId="0" borderId="0" xfId="1" applyFont="1" applyAlignment="1">
      <alignment horizontal="center" vertical="center"/>
    </xf>
    <xf numFmtId="182" fontId="14" fillId="0" borderId="0" xfId="1" applyNumberFormat="1" applyFont="1" applyAlignment="1">
      <alignment horizontal="center" vertical="center"/>
    </xf>
    <xf numFmtId="0" fontId="18" fillId="0" borderId="0" xfId="1" applyFont="1"/>
    <xf numFmtId="0" fontId="19" fillId="0" borderId="0" xfId="1" applyFont="1"/>
    <xf numFmtId="0" fontId="20" fillId="0" borderId="0" xfId="1" applyFont="1" applyAlignment="1">
      <alignment horizontal="center" vertical="center"/>
    </xf>
    <xf numFmtId="0" fontId="18" fillId="0" borderId="0" xfId="1" applyFont="1" applyAlignment="1">
      <alignment shrinkToFit="1"/>
    </xf>
    <xf numFmtId="0" fontId="17" fillId="0" borderId="0" xfId="1" applyFont="1"/>
    <xf numFmtId="176" fontId="12" fillId="3" borderId="6" xfId="1" applyNumberFormat="1" applyFont="1" applyFill="1" applyBorder="1" applyAlignment="1">
      <alignment horizontal="center" vertical="center"/>
    </xf>
    <xf numFmtId="177" fontId="12" fillId="3" borderId="7" xfId="1" applyNumberFormat="1" applyFont="1" applyFill="1" applyBorder="1" applyAlignment="1">
      <alignment horizontal="center" vertical="center"/>
    </xf>
    <xf numFmtId="178" fontId="13" fillId="3" borderId="8" xfId="1" applyNumberFormat="1" applyFont="1" applyFill="1" applyBorder="1" applyAlignment="1">
      <alignment horizontal="center" vertical="center"/>
    </xf>
    <xf numFmtId="178" fontId="13" fillId="3" borderId="9" xfId="1" applyNumberFormat="1" applyFont="1" applyFill="1" applyBorder="1" applyAlignment="1">
      <alignment horizontal="center" vertical="center"/>
    </xf>
    <xf numFmtId="178" fontId="11" fillId="3" borderId="9" xfId="1" applyNumberFormat="1" applyFont="1" applyFill="1" applyBorder="1" applyAlignment="1">
      <alignment horizontal="center" vertical="center"/>
    </xf>
    <xf numFmtId="0" fontId="2" fillId="3" borderId="10" xfId="1" applyFont="1" applyFill="1" applyBorder="1" applyAlignment="1">
      <alignment vertical="center"/>
    </xf>
    <xf numFmtId="0" fontId="2" fillId="3" borderId="11" xfId="1" applyFont="1" applyFill="1" applyBorder="1" applyAlignment="1">
      <alignment horizontal="center" vertical="center"/>
    </xf>
    <xf numFmtId="0" fontId="2" fillId="3" borderId="12" xfId="1" applyFont="1" applyFill="1" applyBorder="1" applyAlignment="1">
      <alignment horizontal="left" vertical="center"/>
    </xf>
    <xf numFmtId="178" fontId="11" fillId="8" borderId="1" xfId="1" applyNumberFormat="1" applyFont="1" applyFill="1" applyBorder="1" applyAlignment="1">
      <alignment horizontal="center" vertical="center"/>
    </xf>
    <xf numFmtId="178" fontId="13" fillId="8" borderId="1" xfId="1" applyNumberFormat="1" applyFont="1" applyFill="1" applyBorder="1" applyAlignment="1">
      <alignment horizontal="center" vertical="center"/>
    </xf>
    <xf numFmtId="178" fontId="13" fillId="8" borderId="28" xfId="1" applyNumberFormat="1" applyFont="1" applyFill="1" applyBorder="1" applyAlignment="1">
      <alignment horizontal="center" vertical="center"/>
    </xf>
    <xf numFmtId="177" fontId="23" fillId="6" borderId="15" xfId="1" applyNumberFormat="1" applyFont="1" applyFill="1" applyBorder="1" applyAlignment="1">
      <alignment horizontal="center" vertical="center"/>
    </xf>
    <xf numFmtId="176" fontId="23" fillId="6" borderId="22" xfId="1" applyNumberFormat="1" applyFont="1" applyFill="1" applyBorder="1" applyAlignment="1">
      <alignment horizontal="center" vertical="center"/>
    </xf>
    <xf numFmtId="178" fontId="22" fillId="6" borderId="1" xfId="1" applyNumberFormat="1" applyFont="1" applyFill="1" applyBorder="1" applyAlignment="1">
      <alignment horizontal="center" vertical="center"/>
    </xf>
    <xf numFmtId="178" fontId="22" fillId="6" borderId="16" xfId="1" applyNumberFormat="1" applyFont="1" applyFill="1" applyBorder="1" applyAlignment="1">
      <alignment horizontal="center" vertical="center"/>
    </xf>
    <xf numFmtId="176" fontId="23" fillId="6" borderId="21" xfId="1" applyNumberFormat="1" applyFont="1" applyFill="1" applyBorder="1" applyAlignment="1">
      <alignment horizontal="center" vertical="center"/>
    </xf>
    <xf numFmtId="178" fontId="22" fillId="8" borderId="1" xfId="1" applyNumberFormat="1" applyFont="1" applyFill="1" applyBorder="1" applyAlignment="1">
      <alignment horizontal="center" vertical="center"/>
    </xf>
    <xf numFmtId="178" fontId="22" fillId="8" borderId="28" xfId="1" applyNumberFormat="1" applyFont="1" applyFill="1" applyBorder="1" applyAlignment="1">
      <alignment horizontal="center" vertical="center"/>
    </xf>
    <xf numFmtId="0" fontId="11" fillId="8" borderId="16" xfId="1" applyFont="1" applyFill="1" applyBorder="1" applyAlignment="1">
      <alignment vertical="center"/>
    </xf>
    <xf numFmtId="178" fontId="21" fillId="8" borderId="1" xfId="1" applyNumberFormat="1" applyFont="1" applyFill="1" applyBorder="1" applyAlignment="1">
      <alignment horizontal="center" vertical="center"/>
    </xf>
  </cellXfs>
  <cellStyles count="2">
    <cellStyle name="標準" xfId="0" builtinId="0"/>
    <cellStyle name="標準 2" xfId="1" xr:uid="{ADB7D8C0-AF02-9B4B-8AC4-D60B4B6D71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5EAE2-577D-B44C-A6E9-A9AE1F10944D}">
  <dimension ref="A1"/>
  <sheetViews>
    <sheetView workbookViewId="0"/>
  </sheetViews>
  <sheetFormatPr baseColWidth="10" defaultRowHeight="20"/>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DC752-B929-8C4B-AAD0-9DD6E46D9FE3}">
  <sheetPr>
    <tabColor indexed="14"/>
    <pageSetUpPr fitToPage="1"/>
  </sheetPr>
  <dimension ref="A1:AH48"/>
  <sheetViews>
    <sheetView tabSelected="1" zoomScale="96" zoomScaleNormal="70" zoomScaleSheetLayoutView="100" workbookViewId="0">
      <pane ySplit="9" topLeftCell="A10" activePane="bottomLeft" state="frozen"/>
      <selection pane="bottomLeft" activeCell="I2" sqref="I2"/>
    </sheetView>
  </sheetViews>
  <sheetFormatPr baseColWidth="10" defaultColWidth="6.42578125" defaultRowHeight="17"/>
  <cols>
    <col min="1" max="1" width="10" style="1" customWidth="1"/>
    <col min="2" max="2" width="2.85546875" style="1" customWidth="1"/>
    <col min="3" max="3" width="11.7109375" style="1" customWidth="1"/>
    <col min="4" max="18" width="3.28515625" style="1" customWidth="1"/>
    <col min="19" max="19" width="3.7109375" style="1" customWidth="1"/>
    <col min="20" max="31" width="3.28515625" style="1" customWidth="1"/>
    <col min="32" max="32" width="4.5703125" style="1" customWidth="1"/>
    <col min="33" max="33" width="4.140625" style="1" customWidth="1"/>
    <col min="34" max="34" width="22.42578125" style="1" customWidth="1"/>
    <col min="35" max="35" width="2.7109375" style="1" customWidth="1"/>
    <col min="36" max="16384" width="6.42578125" style="1"/>
  </cols>
  <sheetData>
    <row r="1" spans="1:34">
      <c r="A1" s="1" t="s">
        <v>56</v>
      </c>
    </row>
    <row r="2" spans="1:34" ht="18.75" customHeight="1">
      <c r="A2" s="131" t="s">
        <v>55</v>
      </c>
      <c r="M2" s="134" t="s">
        <v>60</v>
      </c>
      <c r="N2" s="134"/>
      <c r="O2" s="134"/>
      <c r="P2" s="134"/>
      <c r="V2" s="12" t="s">
        <v>53</v>
      </c>
    </row>
    <row r="3" spans="1:34" ht="18.75" customHeight="1">
      <c r="A3" s="130"/>
      <c r="Q3" s="11"/>
      <c r="V3" s="11" t="s">
        <v>52</v>
      </c>
      <c r="W3" s="11"/>
      <c r="X3" s="11"/>
      <c r="Y3" s="11"/>
      <c r="Z3" s="11"/>
      <c r="AA3" s="11"/>
      <c r="AB3" s="11"/>
      <c r="AC3" s="11"/>
      <c r="AD3" s="11"/>
      <c r="AE3" s="11"/>
      <c r="AF3" s="11"/>
      <c r="AG3" s="11"/>
    </row>
    <row r="4" spans="1:34" s="131" customFormat="1" ht="18.75" customHeight="1">
      <c r="A4" s="131" t="s">
        <v>51</v>
      </c>
      <c r="D4" s="131" t="s">
        <v>50</v>
      </c>
      <c r="G4" s="131">
        <v>8</v>
      </c>
      <c r="H4" s="131" t="s">
        <v>48</v>
      </c>
      <c r="P4" s="131" t="s">
        <v>49</v>
      </c>
      <c r="S4" s="130">
        <v>160</v>
      </c>
      <c r="T4" s="131" t="s">
        <v>48</v>
      </c>
      <c r="X4" s="132"/>
      <c r="Z4" s="132"/>
      <c r="AA4" s="132"/>
      <c r="AB4" s="132"/>
      <c r="AC4" s="132"/>
      <c r="AD4" s="132"/>
      <c r="AE4" s="132"/>
      <c r="AF4" s="132"/>
      <c r="AG4" s="132"/>
    </row>
    <row r="5" spans="1:34" ht="18.75" customHeight="1">
      <c r="A5" s="130" t="s">
        <v>47</v>
      </c>
      <c r="Q5" s="11"/>
      <c r="V5" s="11"/>
      <c r="X5" s="129"/>
      <c r="Z5" s="129"/>
      <c r="AA5" s="129"/>
      <c r="AB5" s="129"/>
      <c r="AC5" s="129"/>
      <c r="AD5" s="129"/>
      <c r="AE5" s="129"/>
      <c r="AF5" s="128"/>
      <c r="AG5" s="127"/>
    </row>
    <row r="6" spans="1:34" ht="18.75" customHeight="1" thickBot="1">
      <c r="A6" s="130"/>
      <c r="Q6" s="11"/>
      <c r="V6" s="11"/>
      <c r="X6" s="129"/>
      <c r="Z6" s="129"/>
      <c r="AA6" s="129"/>
      <c r="AB6" s="129"/>
      <c r="AC6" s="129"/>
      <c r="AD6" s="129"/>
      <c r="AE6" s="129"/>
      <c r="AF6" s="128"/>
      <c r="AG6" s="127"/>
    </row>
    <row r="7" spans="1:34" ht="18.75" customHeight="1">
      <c r="A7" s="126"/>
      <c r="B7" s="125" t="s">
        <v>46</v>
      </c>
      <c r="C7" s="121"/>
      <c r="D7" s="123" t="s">
        <v>45</v>
      </c>
      <c r="E7" s="123"/>
      <c r="F7" s="123"/>
      <c r="G7" s="123"/>
      <c r="H7" s="123"/>
      <c r="I7" s="123"/>
      <c r="J7" s="122"/>
      <c r="K7" s="124" t="s">
        <v>44</v>
      </c>
      <c r="L7" s="123"/>
      <c r="M7" s="123"/>
      <c r="N7" s="123"/>
      <c r="O7" s="123"/>
      <c r="P7" s="123"/>
      <c r="Q7" s="122"/>
      <c r="R7" s="124" t="s">
        <v>43</v>
      </c>
      <c r="S7" s="123"/>
      <c r="T7" s="123"/>
      <c r="U7" s="123"/>
      <c r="V7" s="123"/>
      <c r="W7" s="123"/>
      <c r="X7" s="122"/>
      <c r="Y7" s="124" t="s">
        <v>42</v>
      </c>
      <c r="Z7" s="123"/>
      <c r="AA7" s="123"/>
      <c r="AB7" s="123"/>
      <c r="AC7" s="123"/>
      <c r="AD7" s="123"/>
      <c r="AE7" s="122"/>
      <c r="AF7" s="121" t="s">
        <v>41</v>
      </c>
      <c r="AG7" s="120" t="s">
        <v>40</v>
      </c>
      <c r="AH7" s="119" t="s">
        <v>39</v>
      </c>
    </row>
    <row r="8" spans="1:34" ht="18" customHeight="1">
      <c r="A8" s="118" t="s">
        <v>38</v>
      </c>
      <c r="B8" s="117" t="s">
        <v>37</v>
      </c>
      <c r="C8" s="116" t="s">
        <v>36</v>
      </c>
      <c r="D8" s="115">
        <v>45992</v>
      </c>
      <c r="E8" s="114">
        <f>D8+1</f>
        <v>45993</v>
      </c>
      <c r="F8" s="114">
        <f>E8+1</f>
        <v>45994</v>
      </c>
      <c r="G8" s="114">
        <f>F8+1</f>
        <v>45995</v>
      </c>
      <c r="H8" s="114">
        <f>G8+1</f>
        <v>45996</v>
      </c>
      <c r="I8" s="114">
        <f>H8+1</f>
        <v>45997</v>
      </c>
      <c r="J8" s="113">
        <f>I8+1</f>
        <v>45998</v>
      </c>
      <c r="K8" s="115">
        <f>J8+1</f>
        <v>45999</v>
      </c>
      <c r="L8" s="114">
        <f>K8+1</f>
        <v>46000</v>
      </c>
      <c r="M8" s="114">
        <f>L8+1</f>
        <v>46001</v>
      </c>
      <c r="N8" s="114">
        <f>M8+1</f>
        <v>46002</v>
      </c>
      <c r="O8" s="114">
        <f>N8+1</f>
        <v>46003</v>
      </c>
      <c r="P8" s="114">
        <f>O8+1</f>
        <v>46004</v>
      </c>
      <c r="Q8" s="113">
        <f>P8+1</f>
        <v>46005</v>
      </c>
      <c r="R8" s="115">
        <f>Q8+1</f>
        <v>46006</v>
      </c>
      <c r="S8" s="114">
        <f>R8+1</f>
        <v>46007</v>
      </c>
      <c r="T8" s="114">
        <f>S8+1</f>
        <v>46008</v>
      </c>
      <c r="U8" s="114">
        <f>T8+1</f>
        <v>46009</v>
      </c>
      <c r="V8" s="114">
        <f>U8+1</f>
        <v>46010</v>
      </c>
      <c r="W8" s="114">
        <f>V8+1</f>
        <v>46011</v>
      </c>
      <c r="X8" s="113">
        <f>W8+1</f>
        <v>46012</v>
      </c>
      <c r="Y8" s="115">
        <f>X8+1</f>
        <v>46013</v>
      </c>
      <c r="Z8" s="114">
        <f>Y8+1</f>
        <v>46014</v>
      </c>
      <c r="AA8" s="114">
        <f>Z8+1</f>
        <v>46015</v>
      </c>
      <c r="AB8" s="114">
        <f>AA8+1</f>
        <v>46016</v>
      </c>
      <c r="AC8" s="114">
        <f>AB8+1</f>
        <v>46017</v>
      </c>
      <c r="AD8" s="114">
        <f>AC8+1</f>
        <v>46018</v>
      </c>
      <c r="AE8" s="113">
        <f>AD8+1</f>
        <v>46019</v>
      </c>
      <c r="AF8" s="112"/>
      <c r="AG8" s="111" t="s">
        <v>35</v>
      </c>
      <c r="AH8" s="110" t="s">
        <v>34</v>
      </c>
    </row>
    <row r="9" spans="1:34" ht="18" customHeight="1" thickBot="1">
      <c r="A9" s="109"/>
      <c r="B9" s="108"/>
      <c r="C9" s="103"/>
      <c r="D9" s="107" t="str">
        <f>TEXT(D8,"aaa")</f>
        <v>月</v>
      </c>
      <c r="E9" s="106" t="str">
        <f>TEXT(E8,"aaa")</f>
        <v>火</v>
      </c>
      <c r="F9" s="105" t="str">
        <f>TEXT(F8,"aaa")</f>
        <v>水</v>
      </c>
      <c r="G9" s="105" t="str">
        <f>TEXT(G8,"aaa")</f>
        <v>木</v>
      </c>
      <c r="H9" s="105" t="str">
        <f>TEXT(H8,"aaa")</f>
        <v>金</v>
      </c>
      <c r="I9" s="105" t="str">
        <f>TEXT(I8,"aaa")</f>
        <v>土</v>
      </c>
      <c r="J9" s="104" t="str">
        <f>TEXT(J8,"aaa")</f>
        <v>日</v>
      </c>
      <c r="K9" s="107" t="str">
        <f>TEXT(K8,"aaa")</f>
        <v>月</v>
      </c>
      <c r="L9" s="106" t="str">
        <f>TEXT(L8,"aaa")</f>
        <v>火</v>
      </c>
      <c r="M9" s="105" t="str">
        <f>TEXT(M8,"aaa")</f>
        <v>水</v>
      </c>
      <c r="N9" s="105" t="str">
        <f>TEXT(N8,"aaa")</f>
        <v>木</v>
      </c>
      <c r="O9" s="105" t="str">
        <f>TEXT(O8,"aaa")</f>
        <v>金</v>
      </c>
      <c r="P9" s="105" t="str">
        <f>TEXT(P8,"aaa")</f>
        <v>土</v>
      </c>
      <c r="Q9" s="104" t="str">
        <f>TEXT(Q8,"aaa")</f>
        <v>日</v>
      </c>
      <c r="R9" s="107" t="str">
        <f>TEXT(R8,"aaa")</f>
        <v>月</v>
      </c>
      <c r="S9" s="106" t="str">
        <f>TEXT(S8,"aaa")</f>
        <v>火</v>
      </c>
      <c r="T9" s="105" t="str">
        <f>TEXT(T8,"aaa")</f>
        <v>水</v>
      </c>
      <c r="U9" s="105" t="str">
        <f>TEXT(U8,"aaa")</f>
        <v>木</v>
      </c>
      <c r="V9" s="105" t="str">
        <f>TEXT(V8,"aaa")</f>
        <v>金</v>
      </c>
      <c r="W9" s="105" t="str">
        <f>TEXT(W8,"aaa")</f>
        <v>土</v>
      </c>
      <c r="X9" s="104" t="str">
        <f>TEXT(X8,"aaa")</f>
        <v>日</v>
      </c>
      <c r="Y9" s="107" t="str">
        <f>TEXT(Y8,"aaa")</f>
        <v>月</v>
      </c>
      <c r="Z9" s="106" t="str">
        <f>TEXT(Z8,"aaa")</f>
        <v>火</v>
      </c>
      <c r="AA9" s="105" t="str">
        <f>TEXT(AA8,"aaa")</f>
        <v>水</v>
      </c>
      <c r="AB9" s="105" t="str">
        <f>TEXT(AB8,"aaa")</f>
        <v>木</v>
      </c>
      <c r="AC9" s="105" t="str">
        <f>TEXT(AC8,"aaa")</f>
        <v>金</v>
      </c>
      <c r="AD9" s="105" t="str">
        <f>TEXT(AD8,"aaa")</f>
        <v>土</v>
      </c>
      <c r="AE9" s="104" t="str">
        <f>TEXT(AE8,"aaa")</f>
        <v>日</v>
      </c>
      <c r="AF9" s="103" t="s">
        <v>33</v>
      </c>
      <c r="AG9" s="102" t="s">
        <v>32</v>
      </c>
      <c r="AH9" s="101" t="s">
        <v>31</v>
      </c>
    </row>
    <row r="10" spans="1:34" ht="18" customHeight="1">
      <c r="A10" s="100" t="s">
        <v>30</v>
      </c>
      <c r="B10" s="99" t="s">
        <v>17</v>
      </c>
      <c r="C10" s="98" t="s">
        <v>16</v>
      </c>
      <c r="D10" s="97"/>
      <c r="E10" s="96"/>
      <c r="F10" s="96"/>
      <c r="G10" s="96"/>
      <c r="H10" s="96"/>
      <c r="I10" s="96"/>
      <c r="J10" s="95"/>
      <c r="K10" s="97"/>
      <c r="L10" s="96"/>
      <c r="M10" s="96"/>
      <c r="N10" s="96"/>
      <c r="O10" s="96"/>
      <c r="P10" s="96"/>
      <c r="Q10" s="95"/>
      <c r="R10" s="97"/>
      <c r="S10" s="96"/>
      <c r="T10" s="96"/>
      <c r="U10" s="96"/>
      <c r="V10" s="96"/>
      <c r="W10" s="96"/>
      <c r="X10" s="95"/>
      <c r="Y10" s="97"/>
      <c r="Z10" s="96"/>
      <c r="AA10" s="96"/>
      <c r="AB10" s="96"/>
      <c r="AC10" s="96"/>
      <c r="AD10" s="96"/>
      <c r="AE10" s="95"/>
      <c r="AF10" s="94">
        <f>SUM(D10:AE10)</f>
        <v>0</v>
      </c>
      <c r="AG10" s="93">
        <f>SUM(AF10)/160</f>
        <v>0</v>
      </c>
      <c r="AH10" s="92" t="s">
        <v>29</v>
      </c>
    </row>
    <row r="11" spans="1:34" ht="18" customHeight="1">
      <c r="A11" s="53"/>
      <c r="B11" s="52"/>
      <c r="C11" s="51"/>
      <c r="D11" s="47"/>
      <c r="E11" s="50"/>
      <c r="F11" s="50"/>
      <c r="G11" s="50"/>
      <c r="H11" s="50"/>
      <c r="I11" s="49"/>
      <c r="J11" s="48"/>
      <c r="K11" s="47"/>
      <c r="L11" s="50"/>
      <c r="M11" s="50"/>
      <c r="N11" s="50"/>
      <c r="O11" s="50"/>
      <c r="P11" s="49"/>
      <c r="Q11" s="48"/>
      <c r="R11" s="47"/>
      <c r="S11" s="50"/>
      <c r="T11" s="50"/>
      <c r="U11" s="50"/>
      <c r="V11" s="50"/>
      <c r="W11" s="49"/>
      <c r="X11" s="48"/>
      <c r="Y11" s="47"/>
      <c r="Z11" s="50"/>
      <c r="AA11" s="50"/>
      <c r="AB11" s="50"/>
      <c r="AC11" s="50"/>
      <c r="AD11" s="49"/>
      <c r="AE11" s="48"/>
      <c r="AF11" s="43"/>
      <c r="AG11" s="42"/>
      <c r="AH11" s="23"/>
    </row>
    <row r="12" spans="1:34" ht="18" customHeight="1">
      <c r="A12" s="53" t="s">
        <v>28</v>
      </c>
      <c r="B12" s="52"/>
      <c r="C12" s="51"/>
      <c r="D12" s="47"/>
      <c r="E12" s="50"/>
      <c r="F12" s="50"/>
      <c r="G12" s="50"/>
      <c r="H12" s="50"/>
      <c r="I12" s="49"/>
      <c r="J12" s="48"/>
      <c r="K12" s="47"/>
      <c r="L12" s="50"/>
      <c r="M12" s="50"/>
      <c r="N12" s="50"/>
      <c r="O12" s="50"/>
      <c r="P12" s="49"/>
      <c r="Q12" s="48"/>
      <c r="R12" s="47"/>
      <c r="S12" s="50"/>
      <c r="T12" s="50"/>
      <c r="U12" s="50"/>
      <c r="V12" s="50"/>
      <c r="W12" s="49"/>
      <c r="X12" s="48"/>
      <c r="Y12" s="47"/>
      <c r="Z12" s="50"/>
      <c r="AA12" s="50"/>
      <c r="AB12" s="50"/>
      <c r="AC12" s="50"/>
      <c r="AD12" s="49"/>
      <c r="AE12" s="48"/>
      <c r="AF12" s="43"/>
      <c r="AG12" s="42"/>
      <c r="AH12" s="23"/>
    </row>
    <row r="13" spans="1:34" ht="18" customHeight="1">
      <c r="A13" s="90" t="s">
        <v>27</v>
      </c>
      <c r="B13" s="89" t="s">
        <v>23</v>
      </c>
      <c r="C13" s="88" t="s">
        <v>26</v>
      </c>
      <c r="D13" s="151"/>
      <c r="E13" s="151"/>
      <c r="F13" s="151"/>
      <c r="G13" s="151"/>
      <c r="H13" s="151"/>
      <c r="I13" s="151"/>
      <c r="J13" s="152"/>
      <c r="K13" s="151"/>
      <c r="L13" s="151"/>
      <c r="M13" s="151"/>
      <c r="N13" s="151"/>
      <c r="O13" s="151"/>
      <c r="P13" s="151"/>
      <c r="Q13" s="152"/>
      <c r="R13" s="151"/>
      <c r="S13" s="151"/>
      <c r="T13" s="151"/>
      <c r="U13" s="151"/>
      <c r="V13" s="151"/>
      <c r="W13" s="151"/>
      <c r="X13" s="152"/>
      <c r="Y13" s="151"/>
      <c r="Z13" s="151"/>
      <c r="AA13" s="151"/>
      <c r="AB13" s="151"/>
      <c r="AC13" s="151"/>
      <c r="AD13" s="151"/>
      <c r="AE13" s="152"/>
      <c r="AF13" s="146">
        <f>SUM(D13:AE13)</f>
        <v>0</v>
      </c>
      <c r="AG13" s="147">
        <f>SUM(AF13:AF14)/160</f>
        <v>0</v>
      </c>
      <c r="AH13" s="23"/>
    </row>
    <row r="14" spans="1:34" ht="18" customHeight="1">
      <c r="A14" s="90"/>
      <c r="B14" s="89"/>
      <c r="C14" s="88"/>
      <c r="D14" s="151"/>
      <c r="E14" s="151"/>
      <c r="F14" s="151"/>
      <c r="G14" s="151"/>
      <c r="H14" s="151"/>
      <c r="I14" s="148"/>
      <c r="J14" s="149"/>
      <c r="K14" s="151"/>
      <c r="L14" s="151"/>
      <c r="M14" s="151"/>
      <c r="N14" s="151"/>
      <c r="O14" s="151"/>
      <c r="P14" s="148"/>
      <c r="Q14" s="149"/>
      <c r="R14" s="151"/>
      <c r="S14" s="151"/>
      <c r="T14" s="151"/>
      <c r="U14" s="151"/>
      <c r="V14" s="151"/>
      <c r="W14" s="148"/>
      <c r="X14" s="149"/>
      <c r="Y14" s="151"/>
      <c r="Z14" s="151"/>
      <c r="AA14" s="151"/>
      <c r="AB14" s="151"/>
      <c r="AC14" s="151"/>
      <c r="AD14" s="148"/>
      <c r="AE14" s="149"/>
      <c r="AF14" s="146">
        <f>SUM(D14:AE14)</f>
        <v>0</v>
      </c>
      <c r="AG14" s="150"/>
      <c r="AH14" s="23"/>
    </row>
    <row r="15" spans="1:34" ht="18" customHeight="1">
      <c r="A15" s="77" t="s">
        <v>25</v>
      </c>
      <c r="B15" s="76" t="s">
        <v>23</v>
      </c>
      <c r="C15" s="75" t="s">
        <v>24</v>
      </c>
      <c r="D15" s="82"/>
      <c r="E15" s="71"/>
      <c r="F15" s="71"/>
      <c r="G15" s="71"/>
      <c r="H15" s="71"/>
      <c r="I15" s="71"/>
      <c r="J15" s="70"/>
      <c r="K15" s="82"/>
      <c r="L15" s="71"/>
      <c r="M15" s="71"/>
      <c r="N15" s="71"/>
      <c r="O15" s="71"/>
      <c r="P15" s="71"/>
      <c r="Q15" s="70"/>
      <c r="R15" s="82"/>
      <c r="S15" s="71"/>
      <c r="T15" s="71"/>
      <c r="U15" s="71"/>
      <c r="V15" s="71"/>
      <c r="W15" s="71"/>
      <c r="X15" s="70"/>
      <c r="Y15" s="82"/>
      <c r="Z15" s="71"/>
      <c r="AA15" s="71"/>
      <c r="AB15" s="71"/>
      <c r="AC15" s="71"/>
      <c r="AD15" s="71"/>
      <c r="AE15" s="70"/>
      <c r="AF15" s="69">
        <f>SUM(D15:AE15)</f>
        <v>0</v>
      </c>
      <c r="AG15" s="83">
        <f>SUM(AF15:AF22)/160</f>
        <v>0</v>
      </c>
      <c r="AH15" s="23"/>
    </row>
    <row r="16" spans="1:34" ht="18" customHeight="1">
      <c r="A16" s="77"/>
      <c r="B16" s="76" t="s">
        <v>23</v>
      </c>
      <c r="C16" s="75" t="s">
        <v>22</v>
      </c>
      <c r="D16" s="82"/>
      <c r="E16" s="71"/>
      <c r="F16" s="71"/>
      <c r="G16" s="71"/>
      <c r="H16" s="71"/>
      <c r="I16" s="71"/>
      <c r="J16" s="70"/>
      <c r="K16" s="82"/>
      <c r="L16" s="71"/>
      <c r="M16" s="71"/>
      <c r="N16" s="71"/>
      <c r="O16" s="71"/>
      <c r="P16" s="71"/>
      <c r="Q16" s="70"/>
      <c r="R16" s="82"/>
      <c r="S16" s="71"/>
      <c r="T16" s="71"/>
      <c r="U16" s="71"/>
      <c r="V16" s="71"/>
      <c r="W16" s="71"/>
      <c r="X16" s="70"/>
      <c r="Y16" s="82"/>
      <c r="Z16" s="71"/>
      <c r="AA16" s="71"/>
      <c r="AB16" s="71"/>
      <c r="AC16" s="71"/>
      <c r="AD16" s="71"/>
      <c r="AE16" s="70"/>
      <c r="AF16" s="69">
        <f>SUM(D16:AE16)</f>
        <v>0</v>
      </c>
      <c r="AG16" s="78"/>
      <c r="AH16" s="23"/>
    </row>
    <row r="17" spans="1:34" ht="18" customHeight="1">
      <c r="A17" s="77"/>
      <c r="B17" s="76"/>
      <c r="C17" s="75"/>
      <c r="D17" s="82"/>
      <c r="E17" s="71"/>
      <c r="F17" s="71"/>
      <c r="G17" s="71"/>
      <c r="H17" s="71"/>
      <c r="I17" s="71"/>
      <c r="J17" s="70"/>
      <c r="K17" s="82"/>
      <c r="L17" s="71"/>
      <c r="M17" s="71"/>
      <c r="N17" s="71"/>
      <c r="O17" s="71"/>
      <c r="P17" s="71"/>
      <c r="Q17" s="70"/>
      <c r="R17" s="82"/>
      <c r="S17" s="71"/>
      <c r="T17" s="71"/>
      <c r="U17" s="71"/>
      <c r="V17" s="71"/>
      <c r="W17" s="71"/>
      <c r="X17" s="70"/>
      <c r="Y17" s="82"/>
      <c r="Z17" s="71"/>
      <c r="AA17" s="71"/>
      <c r="AB17" s="71"/>
      <c r="AC17" s="71"/>
      <c r="AD17" s="71"/>
      <c r="AE17" s="70"/>
      <c r="AF17" s="69">
        <f>SUM(D17:AE17)</f>
        <v>0</v>
      </c>
      <c r="AG17" s="78"/>
      <c r="AH17" s="23"/>
    </row>
    <row r="18" spans="1:34" ht="18" customHeight="1">
      <c r="A18" s="77"/>
      <c r="B18" s="76" t="s">
        <v>19</v>
      </c>
      <c r="C18" s="75" t="s">
        <v>21</v>
      </c>
      <c r="D18" s="82"/>
      <c r="E18" s="71"/>
      <c r="F18" s="71"/>
      <c r="G18" s="71"/>
      <c r="H18" s="71"/>
      <c r="I18" s="71"/>
      <c r="J18" s="70"/>
      <c r="K18" s="82"/>
      <c r="L18" s="71"/>
      <c r="M18" s="71"/>
      <c r="N18" s="71"/>
      <c r="O18" s="71"/>
      <c r="P18" s="71"/>
      <c r="Q18" s="70"/>
      <c r="R18" s="82"/>
      <c r="S18" s="71"/>
      <c r="T18" s="71"/>
      <c r="U18" s="71"/>
      <c r="V18" s="71"/>
      <c r="W18" s="71"/>
      <c r="X18" s="70"/>
      <c r="Y18" s="82"/>
      <c r="Z18" s="71"/>
      <c r="AA18" s="71"/>
      <c r="AB18" s="71"/>
      <c r="AC18" s="71"/>
      <c r="AD18" s="71"/>
      <c r="AE18" s="70"/>
      <c r="AF18" s="69">
        <f>SUM(D18:AE18)</f>
        <v>0</v>
      </c>
      <c r="AG18" s="78"/>
      <c r="AH18" s="23"/>
    </row>
    <row r="19" spans="1:34" ht="18" customHeight="1">
      <c r="A19" s="77"/>
      <c r="B19" s="76" t="s">
        <v>19</v>
      </c>
      <c r="C19" s="75" t="s">
        <v>20</v>
      </c>
      <c r="D19" s="82"/>
      <c r="E19" s="71"/>
      <c r="F19" s="71"/>
      <c r="G19" s="71"/>
      <c r="H19" s="71"/>
      <c r="I19" s="71"/>
      <c r="J19" s="70"/>
      <c r="K19" s="82"/>
      <c r="L19" s="71"/>
      <c r="M19" s="71"/>
      <c r="N19" s="71"/>
      <c r="O19" s="71"/>
      <c r="P19" s="71"/>
      <c r="Q19" s="70"/>
      <c r="R19" s="82"/>
      <c r="S19" s="71"/>
      <c r="T19" s="71"/>
      <c r="U19" s="71"/>
      <c r="V19" s="71"/>
      <c r="W19" s="71"/>
      <c r="X19" s="70"/>
      <c r="Y19" s="82"/>
      <c r="Z19" s="71"/>
      <c r="AA19" s="71"/>
      <c r="AB19" s="71"/>
      <c r="AC19" s="71"/>
      <c r="AD19" s="71"/>
      <c r="AE19" s="70"/>
      <c r="AF19" s="69">
        <f>SUM(D19:AE19)</f>
        <v>0</v>
      </c>
      <c r="AG19" s="78"/>
      <c r="AH19" s="23"/>
    </row>
    <row r="20" spans="1:34" ht="18" customHeight="1">
      <c r="A20" s="77"/>
      <c r="B20" s="76"/>
      <c r="C20" s="75"/>
      <c r="D20" s="82"/>
      <c r="E20" s="71"/>
      <c r="F20" s="71"/>
      <c r="G20" s="71"/>
      <c r="H20" s="71"/>
      <c r="I20" s="71"/>
      <c r="J20" s="70"/>
      <c r="K20" s="82"/>
      <c r="L20" s="71"/>
      <c r="M20" s="71"/>
      <c r="N20" s="71"/>
      <c r="O20" s="71"/>
      <c r="P20" s="71"/>
      <c r="Q20" s="70"/>
      <c r="R20" s="82"/>
      <c r="S20" s="71"/>
      <c r="T20" s="71"/>
      <c r="U20" s="71"/>
      <c r="V20" s="71"/>
      <c r="W20" s="71"/>
      <c r="X20" s="70"/>
      <c r="Y20" s="82"/>
      <c r="Z20" s="71"/>
      <c r="AA20" s="71"/>
      <c r="AB20" s="71"/>
      <c r="AC20" s="71"/>
      <c r="AD20" s="71"/>
      <c r="AE20" s="70"/>
      <c r="AF20" s="69">
        <f>SUM(D20:AE20)</f>
        <v>0</v>
      </c>
      <c r="AG20" s="78"/>
      <c r="AH20" s="23"/>
    </row>
    <row r="21" spans="1:34" ht="18" customHeight="1">
      <c r="A21" s="77"/>
      <c r="B21" s="76"/>
      <c r="C21" s="75"/>
      <c r="D21" s="81"/>
      <c r="E21" s="80"/>
      <c r="F21" s="80"/>
      <c r="G21" s="80"/>
      <c r="H21" s="80"/>
      <c r="I21" s="80"/>
      <c r="J21" s="79"/>
      <c r="K21" s="81"/>
      <c r="L21" s="80"/>
      <c r="M21" s="80"/>
      <c r="N21" s="80"/>
      <c r="O21" s="80"/>
      <c r="P21" s="80"/>
      <c r="Q21" s="79"/>
      <c r="R21" s="81"/>
      <c r="S21" s="80"/>
      <c r="T21" s="80"/>
      <c r="U21" s="80"/>
      <c r="V21" s="80"/>
      <c r="W21" s="80"/>
      <c r="X21" s="79"/>
      <c r="Y21" s="81"/>
      <c r="Z21" s="80"/>
      <c r="AA21" s="80"/>
      <c r="AB21" s="80"/>
      <c r="AC21" s="80"/>
      <c r="AD21" s="80"/>
      <c r="AE21" s="79"/>
      <c r="AF21" s="69">
        <f>SUM(D21:AE21)</f>
        <v>0</v>
      </c>
      <c r="AG21" s="78"/>
      <c r="AH21" s="23"/>
    </row>
    <row r="22" spans="1:34" ht="18" customHeight="1">
      <c r="A22" s="77"/>
      <c r="B22" s="76"/>
      <c r="C22" s="75"/>
      <c r="D22" s="74"/>
      <c r="E22" s="73"/>
      <c r="F22" s="72"/>
      <c r="G22" s="72"/>
      <c r="H22" s="72"/>
      <c r="I22" s="71"/>
      <c r="J22" s="70"/>
      <c r="K22" s="74"/>
      <c r="L22" s="73"/>
      <c r="M22" s="72"/>
      <c r="N22" s="72"/>
      <c r="O22" s="72"/>
      <c r="P22" s="71"/>
      <c r="Q22" s="70"/>
      <c r="R22" s="74"/>
      <c r="S22" s="73"/>
      <c r="T22" s="72"/>
      <c r="U22" s="72"/>
      <c r="V22" s="72"/>
      <c r="W22" s="71"/>
      <c r="X22" s="70"/>
      <c r="Y22" s="74"/>
      <c r="Z22" s="73"/>
      <c r="AA22" s="72"/>
      <c r="AB22" s="72"/>
      <c r="AC22" s="72"/>
      <c r="AD22" s="71"/>
      <c r="AE22" s="70"/>
      <c r="AF22" s="69">
        <f>SUM(D22:AE22)</f>
        <v>0</v>
      </c>
      <c r="AG22" s="68"/>
      <c r="AH22" s="23"/>
    </row>
    <row r="23" spans="1:34" ht="18" customHeight="1">
      <c r="A23" s="67" t="s">
        <v>18</v>
      </c>
      <c r="B23" s="60" t="s">
        <v>17</v>
      </c>
      <c r="C23" s="66" t="s">
        <v>16</v>
      </c>
      <c r="D23" s="65"/>
      <c r="E23" s="64"/>
      <c r="F23" s="64"/>
      <c r="G23" s="64"/>
      <c r="H23" s="64"/>
      <c r="I23" s="64"/>
      <c r="J23" s="63"/>
      <c r="K23" s="65"/>
      <c r="L23" s="64"/>
      <c r="M23" s="64"/>
      <c r="N23" s="64"/>
      <c r="O23" s="64"/>
      <c r="P23" s="64"/>
      <c r="Q23" s="63"/>
      <c r="R23" s="65"/>
      <c r="S23" s="64"/>
      <c r="T23" s="64"/>
      <c r="U23" s="64"/>
      <c r="V23" s="64"/>
      <c r="W23" s="64"/>
      <c r="X23" s="63"/>
      <c r="Y23" s="65"/>
      <c r="Z23" s="64"/>
      <c r="AA23" s="64"/>
      <c r="AB23" s="64"/>
      <c r="AC23" s="64"/>
      <c r="AD23" s="64"/>
      <c r="AE23" s="63"/>
      <c r="AF23" s="55">
        <f>SUM(D23:AE23)</f>
        <v>0</v>
      </c>
      <c r="AG23" s="62">
        <f>SUM(AF23:AF24)/160</f>
        <v>0</v>
      </c>
      <c r="AH23" s="23" t="s">
        <v>15</v>
      </c>
    </row>
    <row r="24" spans="1:34" ht="18" customHeight="1">
      <c r="A24" s="61"/>
      <c r="B24" s="60"/>
      <c r="C24" s="59"/>
      <c r="D24" s="58"/>
      <c r="E24" s="57"/>
      <c r="F24" s="57"/>
      <c r="G24" s="57"/>
      <c r="H24" s="57"/>
      <c r="I24" s="57"/>
      <c r="J24" s="56"/>
      <c r="K24" s="58"/>
      <c r="L24" s="57"/>
      <c r="M24" s="57"/>
      <c r="N24" s="57"/>
      <c r="O24" s="57"/>
      <c r="P24" s="57"/>
      <c r="Q24" s="56"/>
      <c r="R24" s="58"/>
      <c r="S24" s="57"/>
      <c r="T24" s="57"/>
      <c r="U24" s="57"/>
      <c r="V24" s="57"/>
      <c r="W24" s="57"/>
      <c r="X24" s="56"/>
      <c r="Y24" s="58"/>
      <c r="Z24" s="57"/>
      <c r="AA24" s="57"/>
      <c r="AB24" s="57"/>
      <c r="AC24" s="57"/>
      <c r="AD24" s="57"/>
      <c r="AE24" s="56"/>
      <c r="AF24" s="55">
        <f>SUM(D24:AE24)</f>
        <v>0</v>
      </c>
      <c r="AG24" s="54"/>
      <c r="AH24" s="23"/>
    </row>
    <row r="25" spans="1:34" ht="18" customHeight="1">
      <c r="A25" s="53" t="s">
        <v>58</v>
      </c>
      <c r="B25" s="52"/>
      <c r="C25" s="51"/>
      <c r="D25" s="47"/>
      <c r="E25" s="50"/>
      <c r="F25" s="50"/>
      <c r="G25" s="50"/>
      <c r="H25" s="50"/>
      <c r="I25" s="49"/>
      <c r="J25" s="48"/>
      <c r="K25" s="47"/>
      <c r="L25" s="50"/>
      <c r="M25" s="50"/>
      <c r="N25" s="50"/>
      <c r="O25" s="50"/>
      <c r="P25" s="49"/>
      <c r="Q25" s="48"/>
      <c r="R25" s="47"/>
      <c r="S25" s="50"/>
      <c r="T25" s="50"/>
      <c r="U25" s="50"/>
      <c r="V25" s="50"/>
      <c r="W25" s="49"/>
      <c r="X25" s="48"/>
      <c r="Y25" s="47"/>
      <c r="Z25" s="50"/>
      <c r="AA25" s="50"/>
      <c r="AB25" s="50"/>
      <c r="AC25" s="50"/>
      <c r="AD25" s="49"/>
      <c r="AE25" s="48"/>
      <c r="AF25" s="43"/>
      <c r="AG25" s="42"/>
      <c r="AH25" s="23"/>
    </row>
    <row r="26" spans="1:34" ht="18" customHeight="1">
      <c r="A26" s="90" t="s">
        <v>27</v>
      </c>
      <c r="B26" s="89" t="s">
        <v>23</v>
      </c>
      <c r="C26" s="153" t="s">
        <v>57</v>
      </c>
      <c r="D26" s="143"/>
      <c r="E26" s="144"/>
      <c r="F26" s="144"/>
      <c r="G26" s="144"/>
      <c r="H26" s="144"/>
      <c r="I26" s="154"/>
      <c r="J26" s="86"/>
      <c r="K26" s="143"/>
      <c r="L26" s="144"/>
      <c r="M26" s="144"/>
      <c r="N26" s="144"/>
      <c r="O26" s="144"/>
      <c r="P26" s="154"/>
      <c r="Q26" s="86"/>
      <c r="R26" s="143"/>
      <c r="S26" s="144"/>
      <c r="T26" s="144"/>
      <c r="U26" s="144"/>
      <c r="V26" s="144"/>
      <c r="W26" s="154"/>
      <c r="X26" s="86"/>
      <c r="Y26" s="143"/>
      <c r="Z26" s="144"/>
      <c r="AA26" s="144"/>
      <c r="AB26" s="144"/>
      <c r="AC26" s="144"/>
      <c r="AD26" s="154"/>
      <c r="AE26" s="86"/>
      <c r="AF26" s="85">
        <f>SUM(D26:AE26)</f>
        <v>0</v>
      </c>
      <c r="AG26" s="91">
        <f>SUM(AF26:AF27)/160</f>
        <v>0</v>
      </c>
      <c r="AH26" s="23"/>
    </row>
    <row r="27" spans="1:34" ht="18" customHeight="1">
      <c r="A27" s="90"/>
      <c r="B27" s="89"/>
      <c r="C27" s="88"/>
      <c r="D27" s="143"/>
      <c r="E27" s="144"/>
      <c r="F27" s="144"/>
      <c r="G27" s="144"/>
      <c r="H27" s="144"/>
      <c r="I27" s="87"/>
      <c r="J27" s="86"/>
      <c r="K27" s="143"/>
      <c r="L27" s="144"/>
      <c r="M27" s="144"/>
      <c r="N27" s="144"/>
      <c r="O27" s="144"/>
      <c r="P27" s="87"/>
      <c r="Q27" s="86"/>
      <c r="R27" s="143"/>
      <c r="S27" s="144"/>
      <c r="T27" s="144"/>
      <c r="U27" s="144"/>
      <c r="V27" s="144"/>
      <c r="W27" s="87"/>
      <c r="X27" s="86"/>
      <c r="Y27" s="143"/>
      <c r="Z27" s="144"/>
      <c r="AA27" s="144"/>
      <c r="AB27" s="144"/>
      <c r="AC27" s="144"/>
      <c r="AD27" s="87"/>
      <c r="AE27" s="86"/>
      <c r="AF27" s="85">
        <f>SUM(D27:AE27)</f>
        <v>0</v>
      </c>
      <c r="AG27" s="84"/>
      <c r="AH27" s="23"/>
    </row>
    <row r="28" spans="1:34" ht="18" customHeight="1">
      <c r="A28" s="77" t="s">
        <v>25</v>
      </c>
      <c r="B28" s="76" t="s">
        <v>23</v>
      </c>
      <c r="C28" s="75" t="s">
        <v>24</v>
      </c>
      <c r="D28" s="82"/>
      <c r="E28" s="71"/>
      <c r="F28" s="71"/>
      <c r="G28" s="71"/>
      <c r="H28" s="71"/>
      <c r="I28" s="71"/>
      <c r="J28" s="70"/>
      <c r="K28" s="82"/>
      <c r="L28" s="71"/>
      <c r="M28" s="71"/>
      <c r="N28" s="71"/>
      <c r="O28" s="71"/>
      <c r="P28" s="71"/>
      <c r="Q28" s="70"/>
      <c r="R28" s="82"/>
      <c r="S28" s="71"/>
      <c r="T28" s="71"/>
      <c r="U28" s="71"/>
      <c r="V28" s="71"/>
      <c r="W28" s="71"/>
      <c r="X28" s="70"/>
      <c r="Y28" s="82"/>
      <c r="Z28" s="71"/>
      <c r="AA28" s="71"/>
      <c r="AB28" s="71"/>
      <c r="AC28" s="71"/>
      <c r="AD28" s="71"/>
      <c r="AE28" s="70"/>
      <c r="AF28" s="69">
        <f>SUM(D28:AE28)</f>
        <v>0</v>
      </c>
      <c r="AG28" s="83">
        <f>SUM(AF28:AF35)/160</f>
        <v>0</v>
      </c>
      <c r="AH28" s="23"/>
    </row>
    <row r="29" spans="1:34" ht="18" customHeight="1">
      <c r="A29" s="77"/>
      <c r="B29" s="76" t="s">
        <v>23</v>
      </c>
      <c r="C29" s="75" t="s">
        <v>22</v>
      </c>
      <c r="D29" s="82"/>
      <c r="E29" s="71"/>
      <c r="F29" s="71"/>
      <c r="G29" s="71"/>
      <c r="H29" s="71"/>
      <c r="I29" s="71"/>
      <c r="J29" s="70"/>
      <c r="K29" s="82"/>
      <c r="L29" s="71"/>
      <c r="M29" s="71"/>
      <c r="N29" s="71"/>
      <c r="O29" s="71"/>
      <c r="P29" s="71"/>
      <c r="Q29" s="70"/>
      <c r="R29" s="82"/>
      <c r="S29" s="71"/>
      <c r="T29" s="71"/>
      <c r="U29" s="71"/>
      <c r="V29" s="71"/>
      <c r="W29" s="71"/>
      <c r="X29" s="70"/>
      <c r="Y29" s="82"/>
      <c r="Z29" s="71"/>
      <c r="AA29" s="71"/>
      <c r="AB29" s="71"/>
      <c r="AC29" s="71"/>
      <c r="AD29" s="71"/>
      <c r="AE29" s="70"/>
      <c r="AF29" s="69">
        <f>SUM(D29:AE29)</f>
        <v>0</v>
      </c>
      <c r="AG29" s="78"/>
      <c r="AH29" s="23"/>
    </row>
    <row r="30" spans="1:34" ht="18" customHeight="1">
      <c r="A30" s="77"/>
      <c r="B30" s="76"/>
      <c r="C30" s="75"/>
      <c r="D30" s="82"/>
      <c r="E30" s="71"/>
      <c r="F30" s="71"/>
      <c r="G30" s="71"/>
      <c r="H30" s="71"/>
      <c r="I30" s="71"/>
      <c r="J30" s="70"/>
      <c r="K30" s="82"/>
      <c r="L30" s="71"/>
      <c r="M30" s="71"/>
      <c r="N30" s="71"/>
      <c r="O30" s="71"/>
      <c r="P30" s="71"/>
      <c r="Q30" s="70"/>
      <c r="R30" s="82"/>
      <c r="S30" s="71"/>
      <c r="T30" s="71"/>
      <c r="U30" s="71"/>
      <c r="V30" s="71"/>
      <c r="W30" s="71"/>
      <c r="X30" s="70"/>
      <c r="Y30" s="82"/>
      <c r="Z30" s="71"/>
      <c r="AA30" s="71"/>
      <c r="AB30" s="71"/>
      <c r="AC30" s="71"/>
      <c r="AD30" s="71"/>
      <c r="AE30" s="70"/>
      <c r="AF30" s="69">
        <f>SUM(D30:AE30)</f>
        <v>0</v>
      </c>
      <c r="AG30" s="78"/>
      <c r="AH30" s="23"/>
    </row>
    <row r="31" spans="1:34" ht="18" customHeight="1">
      <c r="A31" s="77"/>
      <c r="B31" s="76" t="s">
        <v>19</v>
      </c>
      <c r="C31" s="75" t="s">
        <v>21</v>
      </c>
      <c r="D31" s="82"/>
      <c r="E31" s="71"/>
      <c r="F31" s="71"/>
      <c r="G31" s="71"/>
      <c r="H31" s="71"/>
      <c r="I31" s="71"/>
      <c r="J31" s="70"/>
      <c r="K31" s="82"/>
      <c r="L31" s="71"/>
      <c r="M31" s="71"/>
      <c r="N31" s="71"/>
      <c r="O31" s="71"/>
      <c r="P31" s="71"/>
      <c r="Q31" s="70"/>
      <c r="R31" s="82"/>
      <c r="S31" s="71"/>
      <c r="T31" s="71"/>
      <c r="U31" s="71"/>
      <c r="V31" s="71"/>
      <c r="W31" s="71"/>
      <c r="X31" s="70"/>
      <c r="Y31" s="82"/>
      <c r="Z31" s="71"/>
      <c r="AA31" s="71"/>
      <c r="AB31" s="71"/>
      <c r="AC31" s="71"/>
      <c r="AD31" s="71"/>
      <c r="AE31" s="70"/>
      <c r="AF31" s="69">
        <f>SUM(D31:AE31)</f>
        <v>0</v>
      </c>
      <c r="AG31" s="78"/>
      <c r="AH31" s="23"/>
    </row>
    <row r="32" spans="1:34" ht="18" customHeight="1">
      <c r="A32" s="77"/>
      <c r="B32" s="76" t="s">
        <v>19</v>
      </c>
      <c r="C32" s="75" t="s">
        <v>20</v>
      </c>
      <c r="D32" s="82"/>
      <c r="E32" s="71"/>
      <c r="F32" s="71"/>
      <c r="G32" s="71"/>
      <c r="H32" s="71"/>
      <c r="I32" s="71"/>
      <c r="J32" s="70"/>
      <c r="K32" s="82"/>
      <c r="L32" s="71"/>
      <c r="M32" s="71"/>
      <c r="N32" s="71"/>
      <c r="O32" s="71"/>
      <c r="P32" s="71"/>
      <c r="Q32" s="70"/>
      <c r="R32" s="82"/>
      <c r="S32" s="71"/>
      <c r="T32" s="71"/>
      <c r="U32" s="71"/>
      <c r="V32" s="71"/>
      <c r="W32" s="71"/>
      <c r="X32" s="70"/>
      <c r="Y32" s="82"/>
      <c r="Z32" s="71"/>
      <c r="AA32" s="71"/>
      <c r="AB32" s="71"/>
      <c r="AC32" s="71"/>
      <c r="AD32" s="71"/>
      <c r="AE32" s="70"/>
      <c r="AF32" s="69">
        <f>SUM(D32:AE32)</f>
        <v>0</v>
      </c>
      <c r="AG32" s="78"/>
      <c r="AH32" s="23"/>
    </row>
    <row r="33" spans="1:34" ht="18" customHeight="1">
      <c r="A33" s="77"/>
      <c r="B33" s="76"/>
      <c r="C33" s="75"/>
      <c r="D33" s="81"/>
      <c r="E33" s="80"/>
      <c r="F33" s="80"/>
      <c r="G33" s="80"/>
      <c r="H33" s="80"/>
      <c r="I33" s="80"/>
      <c r="J33" s="79"/>
      <c r="K33" s="81"/>
      <c r="L33" s="80"/>
      <c r="M33" s="80"/>
      <c r="N33" s="80"/>
      <c r="O33" s="80"/>
      <c r="P33" s="80"/>
      <c r="Q33" s="79"/>
      <c r="R33" s="81"/>
      <c r="S33" s="80"/>
      <c r="T33" s="80"/>
      <c r="U33" s="80"/>
      <c r="V33" s="80"/>
      <c r="W33" s="80"/>
      <c r="X33" s="79"/>
      <c r="Y33" s="81"/>
      <c r="Z33" s="80"/>
      <c r="AA33" s="80"/>
      <c r="AB33" s="80"/>
      <c r="AC33" s="80"/>
      <c r="AD33" s="80"/>
      <c r="AE33" s="79"/>
      <c r="AF33" s="69">
        <f>SUM(D33:AE33)</f>
        <v>0</v>
      </c>
      <c r="AG33" s="78"/>
      <c r="AH33" s="23"/>
    </row>
    <row r="34" spans="1:34" ht="18" customHeight="1">
      <c r="A34" s="77"/>
      <c r="B34" s="76"/>
      <c r="C34" s="75"/>
      <c r="D34" s="82"/>
      <c r="E34" s="71"/>
      <c r="F34" s="71"/>
      <c r="G34" s="71"/>
      <c r="H34" s="80"/>
      <c r="I34" s="71"/>
      <c r="J34" s="70"/>
      <c r="K34" s="82"/>
      <c r="L34" s="71"/>
      <c r="M34" s="71"/>
      <c r="N34" s="71"/>
      <c r="O34" s="80"/>
      <c r="P34" s="71"/>
      <c r="Q34" s="70"/>
      <c r="R34" s="82"/>
      <c r="S34" s="71"/>
      <c r="T34" s="71"/>
      <c r="U34" s="71"/>
      <c r="V34" s="80"/>
      <c r="W34" s="71"/>
      <c r="X34" s="70"/>
      <c r="Y34" s="82"/>
      <c r="Z34" s="71"/>
      <c r="AA34" s="71"/>
      <c r="AB34" s="71"/>
      <c r="AC34" s="80"/>
      <c r="AD34" s="71"/>
      <c r="AE34" s="70"/>
      <c r="AF34" s="69">
        <f>SUM(D34:AE34)</f>
        <v>0</v>
      </c>
      <c r="AG34" s="78"/>
      <c r="AH34" s="23"/>
    </row>
    <row r="35" spans="1:34" ht="18" customHeight="1">
      <c r="A35" s="77"/>
      <c r="B35" s="76"/>
      <c r="C35" s="75"/>
      <c r="D35" s="82"/>
      <c r="E35" s="71"/>
      <c r="F35" s="71"/>
      <c r="G35" s="71"/>
      <c r="H35" s="71"/>
      <c r="I35" s="71"/>
      <c r="J35" s="70"/>
      <c r="K35" s="82"/>
      <c r="L35" s="71"/>
      <c r="M35" s="71"/>
      <c r="N35" s="71"/>
      <c r="O35" s="71"/>
      <c r="P35" s="71"/>
      <c r="Q35" s="70"/>
      <c r="R35" s="82"/>
      <c r="S35" s="71"/>
      <c r="T35" s="71"/>
      <c r="U35" s="71"/>
      <c r="V35" s="71"/>
      <c r="W35" s="71"/>
      <c r="X35" s="70"/>
      <c r="Y35" s="82"/>
      <c r="Z35" s="71"/>
      <c r="AA35" s="71"/>
      <c r="AB35" s="71"/>
      <c r="AC35" s="71"/>
      <c r="AD35" s="71"/>
      <c r="AE35" s="70"/>
      <c r="AF35" s="69">
        <f>SUM(D35:AE35)</f>
        <v>0</v>
      </c>
      <c r="AG35" s="68"/>
      <c r="AH35" s="23"/>
    </row>
    <row r="36" spans="1:34" ht="18" customHeight="1">
      <c r="A36" s="67" t="s">
        <v>18</v>
      </c>
      <c r="B36" s="60" t="s">
        <v>17</v>
      </c>
      <c r="C36" s="59" t="s">
        <v>16</v>
      </c>
      <c r="D36" s="58"/>
      <c r="E36" s="57"/>
      <c r="F36" s="57"/>
      <c r="G36" s="57"/>
      <c r="H36" s="57"/>
      <c r="I36" s="57"/>
      <c r="J36" s="56"/>
      <c r="K36" s="58"/>
      <c r="L36" s="57"/>
      <c r="M36" s="57"/>
      <c r="N36" s="57"/>
      <c r="O36" s="57"/>
      <c r="P36" s="57"/>
      <c r="Q36" s="56"/>
      <c r="R36" s="58"/>
      <c r="S36" s="57"/>
      <c r="T36" s="57"/>
      <c r="U36" s="57"/>
      <c r="V36" s="57"/>
      <c r="W36" s="57"/>
      <c r="X36" s="56"/>
      <c r="Y36" s="58"/>
      <c r="Z36" s="57"/>
      <c r="AA36" s="57"/>
      <c r="AB36" s="57"/>
      <c r="AC36" s="57"/>
      <c r="AD36" s="57"/>
      <c r="AE36" s="56"/>
      <c r="AF36" s="55">
        <f>SUM(D36:AE36)</f>
        <v>0</v>
      </c>
      <c r="AG36" s="62">
        <f>SUM(AF36:AF37)/160</f>
        <v>0</v>
      </c>
      <c r="AH36" s="23" t="s">
        <v>15</v>
      </c>
    </row>
    <row r="37" spans="1:34" ht="18" customHeight="1" thickBot="1">
      <c r="A37" s="142"/>
      <c r="B37" s="141"/>
      <c r="C37" s="140"/>
      <c r="D37" s="139"/>
      <c r="E37" s="138"/>
      <c r="F37" s="138"/>
      <c r="G37" s="138"/>
      <c r="H37" s="138"/>
      <c r="I37" s="138"/>
      <c r="J37" s="137"/>
      <c r="K37" s="139"/>
      <c r="L37" s="138"/>
      <c r="M37" s="138"/>
      <c r="N37" s="138"/>
      <c r="O37" s="138"/>
      <c r="P37" s="138"/>
      <c r="Q37" s="137"/>
      <c r="R37" s="139"/>
      <c r="S37" s="138"/>
      <c r="T37" s="138"/>
      <c r="U37" s="138"/>
      <c r="V37" s="138"/>
      <c r="W37" s="138"/>
      <c r="X37" s="137"/>
      <c r="Y37" s="139"/>
      <c r="Z37" s="138"/>
      <c r="AA37" s="138"/>
      <c r="AB37" s="138"/>
      <c r="AC37" s="138"/>
      <c r="AD37" s="138"/>
      <c r="AE37" s="137"/>
      <c r="AF37" s="136">
        <f>SUM(D37:AE37)</f>
        <v>0</v>
      </c>
      <c r="AG37" s="135"/>
      <c r="AH37" s="13"/>
    </row>
    <row r="38" spans="1:34" ht="18" customHeight="1">
      <c r="A38" s="1" t="s">
        <v>14</v>
      </c>
    </row>
    <row r="39" spans="1:34" ht="18" customHeight="1">
      <c r="A39" s="1" t="s">
        <v>13</v>
      </c>
    </row>
    <row r="40" spans="1:34" ht="18" customHeight="1">
      <c r="A40" s="12" t="s">
        <v>12</v>
      </c>
      <c r="B40" s="11"/>
      <c r="C40" s="11"/>
    </row>
    <row r="41" spans="1:34" ht="18" customHeight="1">
      <c r="A41" s="10" t="s">
        <v>11</v>
      </c>
      <c r="B41" s="9" t="s">
        <v>10</v>
      </c>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7"/>
    </row>
    <row r="42" spans="1:34" ht="18" customHeight="1">
      <c r="A42" s="6" t="s">
        <v>9</v>
      </c>
      <c r="B42" s="5" t="s">
        <v>8</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3"/>
    </row>
    <row r="43" spans="1:34" ht="18" customHeight="1">
      <c r="A43" s="6" t="s">
        <v>7</v>
      </c>
      <c r="B43" s="5" t="s">
        <v>6</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3"/>
    </row>
    <row r="44" spans="1:34" ht="18" customHeight="1">
      <c r="A44" s="6" t="s">
        <v>5</v>
      </c>
      <c r="B44" s="5" t="s">
        <v>4</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3"/>
    </row>
    <row r="45" spans="1:34" ht="18" customHeight="1">
      <c r="A45" s="1" t="s">
        <v>3</v>
      </c>
    </row>
    <row r="46" spans="1:34" ht="18" customHeight="1">
      <c r="A46" s="2" t="s">
        <v>2</v>
      </c>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row>
    <row r="47" spans="1:34" ht="18" customHeight="1">
      <c r="A47" s="1" t="s">
        <v>1</v>
      </c>
      <c r="AH47" s="1" t="s">
        <v>0</v>
      </c>
    </row>
    <row r="48" spans="1:34" ht="18" customHeight="1"/>
  </sheetData>
  <mergeCells count="15">
    <mergeCell ref="B43:AH43"/>
    <mergeCell ref="B44:AH44"/>
    <mergeCell ref="A46:AH46"/>
    <mergeCell ref="AG23:AG24"/>
    <mergeCell ref="AG26:AG27"/>
    <mergeCell ref="AG28:AG35"/>
    <mergeCell ref="AG36:AG37"/>
    <mergeCell ref="B41:AH41"/>
    <mergeCell ref="B42:AH42"/>
    <mergeCell ref="AG15:AG22"/>
    <mergeCell ref="D7:J7"/>
    <mergeCell ref="K7:Q7"/>
    <mergeCell ref="R7:X7"/>
    <mergeCell ref="Y7:AE7"/>
    <mergeCell ref="AG13:AG14"/>
  </mergeCells>
  <phoneticPr fontId="3"/>
  <printOptions horizontalCentered="1" verticalCentered="1"/>
  <pageMargins left="0.79000000000000015" right="0.79000000000000015" top="0.39000000000000007" bottom="0" header="0.51" footer="0.24000000000000002"/>
  <pageSetup paperSize="9" scale="6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A111D-2872-3D45-A950-A0F6BA3B5C35}">
  <sheetPr>
    <tabColor indexed="14"/>
    <pageSetUpPr fitToPage="1"/>
  </sheetPr>
  <dimension ref="A1:AH48"/>
  <sheetViews>
    <sheetView zoomScale="97" zoomScaleNormal="75" zoomScaleSheetLayoutView="100" workbookViewId="0">
      <pane ySplit="9" topLeftCell="A18" activePane="bottomLeft" state="frozen"/>
      <selection pane="bottomLeft" activeCell="P20" sqref="P20"/>
    </sheetView>
  </sheetViews>
  <sheetFormatPr baseColWidth="10" defaultColWidth="6.42578125" defaultRowHeight="17"/>
  <cols>
    <col min="1" max="1" width="10" style="1" customWidth="1"/>
    <col min="2" max="2" width="2.85546875" style="1" customWidth="1"/>
    <col min="3" max="3" width="11.7109375" style="1" customWidth="1"/>
    <col min="4" max="31" width="3.28515625" style="1" customWidth="1"/>
    <col min="32" max="32" width="4.5703125" style="1" customWidth="1"/>
    <col min="33" max="33" width="4.140625" style="1" customWidth="1"/>
    <col min="34" max="34" width="22.42578125" style="1" customWidth="1"/>
    <col min="35" max="35" width="2.7109375" style="1" customWidth="1"/>
    <col min="36" max="16384" width="6.42578125" style="1"/>
  </cols>
  <sheetData>
    <row r="1" spans="1:34">
      <c r="A1" s="1" t="s">
        <v>56</v>
      </c>
    </row>
    <row r="2" spans="1:34" ht="18.75" customHeight="1">
      <c r="A2" s="131" t="s">
        <v>55</v>
      </c>
      <c r="M2" s="134" t="s">
        <v>59</v>
      </c>
      <c r="N2" s="134"/>
      <c r="O2" s="134"/>
      <c r="P2" s="134"/>
      <c r="Q2" s="1" t="s">
        <v>54</v>
      </c>
      <c r="V2" s="12" t="s">
        <v>53</v>
      </c>
    </row>
    <row r="3" spans="1:34" ht="18.75" customHeight="1">
      <c r="A3" s="130"/>
      <c r="Q3" s="11"/>
      <c r="V3" s="11" t="s">
        <v>52</v>
      </c>
      <c r="W3" s="11"/>
      <c r="X3" s="11"/>
      <c r="Y3" s="11"/>
      <c r="Z3" s="11"/>
      <c r="AA3" s="11"/>
      <c r="AB3" s="11"/>
      <c r="AC3" s="11"/>
      <c r="AD3" s="11"/>
      <c r="AE3" s="11"/>
      <c r="AF3" s="11"/>
      <c r="AG3" s="11"/>
    </row>
    <row r="4" spans="1:34" s="131" customFormat="1" ht="18.75" customHeight="1">
      <c r="A4" s="131" t="s">
        <v>51</v>
      </c>
      <c r="D4" s="131" t="s">
        <v>50</v>
      </c>
      <c r="G4" s="131">
        <v>8</v>
      </c>
      <c r="H4" s="131" t="s">
        <v>48</v>
      </c>
      <c r="P4" s="131" t="s">
        <v>49</v>
      </c>
      <c r="S4" s="133">
        <v>160</v>
      </c>
      <c r="T4" s="131" t="s">
        <v>48</v>
      </c>
      <c r="X4" s="132"/>
      <c r="Z4" s="132"/>
      <c r="AA4" s="132"/>
      <c r="AB4" s="132"/>
      <c r="AC4" s="132"/>
      <c r="AD4" s="132"/>
      <c r="AE4" s="132"/>
      <c r="AF4" s="132"/>
      <c r="AG4" s="132"/>
    </row>
    <row r="5" spans="1:34" ht="18.75" customHeight="1">
      <c r="A5" s="130" t="s">
        <v>47</v>
      </c>
      <c r="Q5" s="11"/>
      <c r="V5" s="11"/>
      <c r="X5" s="129"/>
      <c r="Z5" s="129"/>
      <c r="AA5" s="129"/>
      <c r="AB5" s="129"/>
      <c r="AC5" s="129"/>
      <c r="AD5" s="129"/>
      <c r="AE5" s="129"/>
      <c r="AF5" s="128"/>
      <c r="AG5" s="127"/>
    </row>
    <row r="6" spans="1:34" ht="18.75" customHeight="1" thickBot="1">
      <c r="A6" s="130"/>
      <c r="Q6" s="11"/>
      <c r="V6" s="11"/>
      <c r="X6" s="129"/>
      <c r="Z6" s="129"/>
      <c r="AA6" s="129"/>
      <c r="AB6" s="129"/>
      <c r="AC6" s="129"/>
      <c r="AD6" s="129"/>
      <c r="AE6" s="129"/>
      <c r="AF6" s="128"/>
      <c r="AG6" s="127"/>
    </row>
    <row r="7" spans="1:34" ht="18.75" customHeight="1">
      <c r="A7" s="126"/>
      <c r="B7" s="125" t="s">
        <v>46</v>
      </c>
      <c r="C7" s="121"/>
      <c r="D7" s="123" t="s">
        <v>45</v>
      </c>
      <c r="E7" s="123"/>
      <c r="F7" s="123"/>
      <c r="G7" s="123"/>
      <c r="H7" s="123"/>
      <c r="I7" s="123"/>
      <c r="J7" s="122"/>
      <c r="K7" s="124" t="s">
        <v>44</v>
      </c>
      <c r="L7" s="123"/>
      <c r="M7" s="123"/>
      <c r="N7" s="123"/>
      <c r="O7" s="123"/>
      <c r="P7" s="123"/>
      <c r="Q7" s="122"/>
      <c r="R7" s="124" t="s">
        <v>43</v>
      </c>
      <c r="S7" s="123"/>
      <c r="T7" s="123"/>
      <c r="U7" s="123"/>
      <c r="V7" s="123"/>
      <c r="W7" s="123"/>
      <c r="X7" s="122"/>
      <c r="Y7" s="124" t="s">
        <v>42</v>
      </c>
      <c r="Z7" s="123"/>
      <c r="AA7" s="123"/>
      <c r="AB7" s="123"/>
      <c r="AC7" s="123"/>
      <c r="AD7" s="123"/>
      <c r="AE7" s="122"/>
      <c r="AF7" s="121" t="s">
        <v>41</v>
      </c>
      <c r="AG7" s="120" t="s">
        <v>40</v>
      </c>
      <c r="AH7" s="119" t="s">
        <v>39</v>
      </c>
    </row>
    <row r="8" spans="1:34" ht="18" customHeight="1">
      <c r="A8" s="118" t="s">
        <v>38</v>
      </c>
      <c r="B8" s="117" t="s">
        <v>37</v>
      </c>
      <c r="C8" s="116" t="s">
        <v>36</v>
      </c>
      <c r="D8" s="115">
        <v>46357</v>
      </c>
      <c r="E8" s="114">
        <f>D8+1</f>
        <v>46358</v>
      </c>
      <c r="F8" s="114">
        <f>E8+1</f>
        <v>46359</v>
      </c>
      <c r="G8" s="114">
        <f>F8+1</f>
        <v>46360</v>
      </c>
      <c r="H8" s="114">
        <f>G8+1</f>
        <v>46361</v>
      </c>
      <c r="I8" s="114">
        <f>H8+1</f>
        <v>46362</v>
      </c>
      <c r="J8" s="113">
        <f>I8+1</f>
        <v>46363</v>
      </c>
      <c r="K8" s="115">
        <f>J8+1</f>
        <v>46364</v>
      </c>
      <c r="L8" s="114">
        <f>K8+1</f>
        <v>46365</v>
      </c>
      <c r="M8" s="114">
        <f>L8+1</f>
        <v>46366</v>
      </c>
      <c r="N8" s="114">
        <f>M8+1</f>
        <v>46367</v>
      </c>
      <c r="O8" s="114">
        <f>N8+1</f>
        <v>46368</v>
      </c>
      <c r="P8" s="114">
        <f>O8+1</f>
        <v>46369</v>
      </c>
      <c r="Q8" s="113">
        <f>P8+1</f>
        <v>46370</v>
      </c>
      <c r="R8" s="115">
        <f>Q8+1</f>
        <v>46371</v>
      </c>
      <c r="S8" s="114">
        <f>R8+1</f>
        <v>46372</v>
      </c>
      <c r="T8" s="114">
        <f>S8+1</f>
        <v>46373</v>
      </c>
      <c r="U8" s="114">
        <f>T8+1</f>
        <v>46374</v>
      </c>
      <c r="V8" s="114">
        <f>U8+1</f>
        <v>46375</v>
      </c>
      <c r="W8" s="114">
        <f>V8+1</f>
        <v>46376</v>
      </c>
      <c r="X8" s="113">
        <f>W8+1</f>
        <v>46377</v>
      </c>
      <c r="Y8" s="115">
        <f>X8+1</f>
        <v>46378</v>
      </c>
      <c r="Z8" s="114">
        <f>Y8+1</f>
        <v>46379</v>
      </c>
      <c r="AA8" s="114">
        <f>Z8+1</f>
        <v>46380</v>
      </c>
      <c r="AB8" s="114">
        <f>AA8+1</f>
        <v>46381</v>
      </c>
      <c r="AC8" s="114">
        <f>AB8+1</f>
        <v>46382</v>
      </c>
      <c r="AD8" s="114">
        <f>AC8+1</f>
        <v>46383</v>
      </c>
      <c r="AE8" s="113">
        <f>AD8+1</f>
        <v>46384</v>
      </c>
      <c r="AF8" s="112"/>
      <c r="AG8" s="111" t="s">
        <v>35</v>
      </c>
      <c r="AH8" s="110" t="s">
        <v>34</v>
      </c>
    </row>
    <row r="9" spans="1:34" ht="18" customHeight="1" thickBot="1">
      <c r="A9" s="109"/>
      <c r="B9" s="108"/>
      <c r="C9" s="103"/>
      <c r="D9" s="107" t="str">
        <f>TEXT(D8,"aaa")</f>
        <v>火</v>
      </c>
      <c r="E9" s="106" t="str">
        <f>TEXT(E8,"aaa")</f>
        <v>水</v>
      </c>
      <c r="F9" s="105" t="str">
        <f>TEXT(F8,"aaa")</f>
        <v>木</v>
      </c>
      <c r="G9" s="105" t="str">
        <f>TEXT(G8,"aaa")</f>
        <v>金</v>
      </c>
      <c r="H9" s="105" t="str">
        <f>TEXT(H8,"aaa")</f>
        <v>土</v>
      </c>
      <c r="I9" s="105" t="str">
        <f>TEXT(I8,"aaa")</f>
        <v>日</v>
      </c>
      <c r="J9" s="104" t="str">
        <f>TEXT(J8,"aaa")</f>
        <v>月</v>
      </c>
      <c r="K9" s="107" t="str">
        <f>TEXT(K8,"aaa")</f>
        <v>火</v>
      </c>
      <c r="L9" s="106" t="str">
        <f>TEXT(L8,"aaa")</f>
        <v>水</v>
      </c>
      <c r="M9" s="105" t="str">
        <f>TEXT(M8,"aaa")</f>
        <v>木</v>
      </c>
      <c r="N9" s="105" t="str">
        <f>TEXT(N8,"aaa")</f>
        <v>金</v>
      </c>
      <c r="O9" s="105" t="str">
        <f>TEXT(O8,"aaa")</f>
        <v>土</v>
      </c>
      <c r="P9" s="105" t="str">
        <f>TEXT(P8,"aaa")</f>
        <v>日</v>
      </c>
      <c r="Q9" s="104" t="str">
        <f>TEXT(Q8,"aaa")</f>
        <v>月</v>
      </c>
      <c r="R9" s="107" t="str">
        <f>TEXT(R8,"aaa")</f>
        <v>火</v>
      </c>
      <c r="S9" s="106" t="str">
        <f>TEXT(S8,"aaa")</f>
        <v>水</v>
      </c>
      <c r="T9" s="105" t="str">
        <f>TEXT(T8,"aaa")</f>
        <v>木</v>
      </c>
      <c r="U9" s="105" t="str">
        <f>TEXT(U8,"aaa")</f>
        <v>金</v>
      </c>
      <c r="V9" s="105" t="str">
        <f>TEXT(V8,"aaa")</f>
        <v>土</v>
      </c>
      <c r="W9" s="105" t="str">
        <f>TEXT(W8,"aaa")</f>
        <v>日</v>
      </c>
      <c r="X9" s="104" t="str">
        <f>TEXT(X8,"aaa")</f>
        <v>月</v>
      </c>
      <c r="Y9" s="107" t="str">
        <f>TEXT(Y8,"aaa")</f>
        <v>火</v>
      </c>
      <c r="Z9" s="106" t="str">
        <f>TEXT(Z8,"aaa")</f>
        <v>水</v>
      </c>
      <c r="AA9" s="105" t="str">
        <f>TEXT(AA8,"aaa")</f>
        <v>木</v>
      </c>
      <c r="AB9" s="105" t="str">
        <f>TEXT(AB8,"aaa")</f>
        <v>金</v>
      </c>
      <c r="AC9" s="105" t="str">
        <f>TEXT(AC8,"aaa")</f>
        <v>土</v>
      </c>
      <c r="AD9" s="105" t="str">
        <f>TEXT(AD8,"aaa")</f>
        <v>日</v>
      </c>
      <c r="AE9" s="104" t="str">
        <f>TEXT(AE8,"aaa")</f>
        <v>月</v>
      </c>
      <c r="AF9" s="103" t="s">
        <v>33</v>
      </c>
      <c r="AG9" s="102" t="s">
        <v>32</v>
      </c>
      <c r="AH9" s="101" t="s">
        <v>31</v>
      </c>
    </row>
    <row r="10" spans="1:34" ht="18" customHeight="1">
      <c r="A10" s="100" t="s">
        <v>30</v>
      </c>
      <c r="B10" s="99" t="s">
        <v>17</v>
      </c>
      <c r="C10" s="98" t="s">
        <v>16</v>
      </c>
      <c r="D10" s="97"/>
      <c r="E10" s="96"/>
      <c r="F10" s="96"/>
      <c r="G10" s="96"/>
      <c r="H10" s="96"/>
      <c r="I10" s="96"/>
      <c r="J10" s="95"/>
      <c r="K10" s="97"/>
      <c r="L10" s="96"/>
      <c r="M10" s="96"/>
      <c r="N10" s="96"/>
      <c r="O10" s="96"/>
      <c r="P10" s="96"/>
      <c r="Q10" s="95"/>
      <c r="R10" s="97"/>
      <c r="S10" s="96"/>
      <c r="T10" s="96"/>
      <c r="U10" s="96"/>
      <c r="V10" s="96"/>
      <c r="W10" s="96"/>
      <c r="X10" s="95"/>
      <c r="Y10" s="97"/>
      <c r="Z10" s="96"/>
      <c r="AA10" s="96"/>
      <c r="AB10" s="96"/>
      <c r="AC10" s="96"/>
      <c r="AD10" s="96"/>
      <c r="AE10" s="95"/>
      <c r="AF10" s="94">
        <f>SUM(D10:AE10)</f>
        <v>0</v>
      </c>
      <c r="AG10" s="93">
        <f>SUM(AF10)/32</f>
        <v>0</v>
      </c>
      <c r="AH10" s="92" t="s">
        <v>29</v>
      </c>
    </row>
    <row r="11" spans="1:34" ht="18" customHeight="1">
      <c r="A11" s="53"/>
      <c r="B11" s="52"/>
      <c r="C11" s="51"/>
      <c r="D11" s="47"/>
      <c r="E11" s="50"/>
      <c r="F11" s="50"/>
      <c r="G11" s="50"/>
      <c r="H11" s="50"/>
      <c r="I11" s="49"/>
      <c r="J11" s="48"/>
      <c r="K11" s="47"/>
      <c r="L11" s="50"/>
      <c r="M11" s="50"/>
      <c r="N11" s="50"/>
      <c r="O11" s="50"/>
      <c r="P11" s="49"/>
      <c r="Q11" s="48"/>
      <c r="R11" s="47"/>
      <c r="S11" s="50"/>
      <c r="T11" s="50"/>
      <c r="U11" s="50"/>
      <c r="V11" s="50"/>
      <c r="W11" s="49"/>
      <c r="X11" s="48"/>
      <c r="Y11" s="47"/>
      <c r="Z11" s="50"/>
      <c r="AA11" s="50"/>
      <c r="AB11" s="50"/>
      <c r="AC11" s="50"/>
      <c r="AD11" s="49"/>
      <c r="AE11" s="48"/>
      <c r="AF11" s="43"/>
      <c r="AG11" s="42"/>
      <c r="AH11" s="23"/>
    </row>
    <row r="12" spans="1:34" ht="18" customHeight="1">
      <c r="A12" s="53" t="s">
        <v>28</v>
      </c>
      <c r="B12" s="52"/>
      <c r="C12" s="51"/>
      <c r="D12" s="47"/>
      <c r="E12" s="50"/>
      <c r="F12" s="50"/>
      <c r="G12" s="50"/>
      <c r="H12" s="50"/>
      <c r="I12" s="49"/>
      <c r="J12" s="48"/>
      <c r="K12" s="47"/>
      <c r="L12" s="50"/>
      <c r="M12" s="50"/>
      <c r="N12" s="50"/>
      <c r="O12" s="50"/>
      <c r="P12" s="49"/>
      <c r="Q12" s="48"/>
      <c r="R12" s="47"/>
      <c r="S12" s="50"/>
      <c r="T12" s="50"/>
      <c r="U12" s="50"/>
      <c r="V12" s="50"/>
      <c r="W12" s="49"/>
      <c r="X12" s="48"/>
      <c r="Y12" s="47"/>
      <c r="Z12" s="50"/>
      <c r="AA12" s="50"/>
      <c r="AB12" s="50"/>
      <c r="AC12" s="50"/>
      <c r="AD12" s="49"/>
      <c r="AE12" s="48"/>
      <c r="AF12" s="43"/>
      <c r="AG12" s="42"/>
      <c r="AH12" s="23"/>
    </row>
    <row r="13" spans="1:34" ht="18" customHeight="1">
      <c r="A13" s="90" t="s">
        <v>27</v>
      </c>
      <c r="B13" s="89" t="s">
        <v>23</v>
      </c>
      <c r="C13" s="88" t="s">
        <v>26</v>
      </c>
      <c r="D13" s="143"/>
      <c r="E13" s="144"/>
      <c r="F13" s="144"/>
      <c r="G13" s="144"/>
      <c r="H13" s="144"/>
      <c r="I13" s="144"/>
      <c r="J13" s="145"/>
      <c r="K13" s="143"/>
      <c r="L13" s="144"/>
      <c r="M13" s="144"/>
      <c r="N13" s="144"/>
      <c r="O13" s="144"/>
      <c r="P13" s="144"/>
      <c r="Q13" s="145"/>
      <c r="R13" s="143"/>
      <c r="S13" s="144"/>
      <c r="T13" s="144"/>
      <c r="U13" s="144"/>
      <c r="V13" s="144"/>
      <c r="W13" s="144"/>
      <c r="X13" s="145"/>
      <c r="Y13" s="143"/>
      <c r="Z13" s="144"/>
      <c r="AA13" s="144"/>
      <c r="AB13" s="144"/>
      <c r="AC13" s="144"/>
      <c r="AD13" s="144"/>
      <c r="AE13" s="145"/>
      <c r="AF13" s="85">
        <f>SUM(D13:AE13)</f>
        <v>0</v>
      </c>
      <c r="AG13" s="91">
        <f>SUM(AF13:AF14)/32</f>
        <v>0</v>
      </c>
      <c r="AH13" s="23"/>
    </row>
    <row r="14" spans="1:34" ht="18" customHeight="1">
      <c r="A14" s="90"/>
      <c r="B14" s="89"/>
      <c r="C14" s="88"/>
      <c r="D14" s="143"/>
      <c r="E14" s="144"/>
      <c r="F14" s="144"/>
      <c r="G14" s="144"/>
      <c r="H14" s="144"/>
      <c r="I14" s="87"/>
      <c r="J14" s="86"/>
      <c r="K14" s="143"/>
      <c r="L14" s="144"/>
      <c r="M14" s="144"/>
      <c r="N14" s="144"/>
      <c r="O14" s="144"/>
      <c r="P14" s="87"/>
      <c r="Q14" s="86"/>
      <c r="R14" s="143"/>
      <c r="S14" s="144"/>
      <c r="T14" s="144"/>
      <c r="U14" s="144"/>
      <c r="V14" s="144"/>
      <c r="W14" s="87"/>
      <c r="X14" s="86"/>
      <c r="Y14" s="143"/>
      <c r="Z14" s="144"/>
      <c r="AA14" s="144"/>
      <c r="AB14" s="144"/>
      <c r="AC14" s="144"/>
      <c r="AD14" s="87"/>
      <c r="AE14" s="86"/>
      <c r="AF14" s="85">
        <f>SUM(D14:AE14)</f>
        <v>0</v>
      </c>
      <c r="AG14" s="84"/>
      <c r="AH14" s="23"/>
    </row>
    <row r="15" spans="1:34" ht="18" customHeight="1">
      <c r="A15" s="77" t="s">
        <v>25</v>
      </c>
      <c r="B15" s="76" t="s">
        <v>23</v>
      </c>
      <c r="C15" s="75" t="s">
        <v>24</v>
      </c>
      <c r="D15" s="82"/>
      <c r="E15" s="71"/>
      <c r="F15" s="71"/>
      <c r="G15" s="71"/>
      <c r="H15" s="71"/>
      <c r="I15" s="71"/>
      <c r="J15" s="70"/>
      <c r="K15" s="82"/>
      <c r="L15" s="71"/>
      <c r="M15" s="71"/>
      <c r="N15" s="71"/>
      <c r="O15" s="71"/>
      <c r="P15" s="71"/>
      <c r="Q15" s="70"/>
      <c r="R15" s="82"/>
      <c r="S15" s="71"/>
      <c r="T15" s="71"/>
      <c r="U15" s="71"/>
      <c r="V15" s="71"/>
      <c r="W15" s="71"/>
      <c r="X15" s="70"/>
      <c r="Y15" s="82"/>
      <c r="Z15" s="71"/>
      <c r="AA15" s="71"/>
      <c r="AB15" s="71"/>
      <c r="AC15" s="71"/>
      <c r="AD15" s="71"/>
      <c r="AE15" s="70"/>
      <c r="AF15" s="69">
        <f>SUM(D15:AE15)</f>
        <v>0</v>
      </c>
      <c r="AG15" s="83">
        <f>SUM(AF15:AF22)/32</f>
        <v>0</v>
      </c>
      <c r="AH15" s="23"/>
    </row>
    <row r="16" spans="1:34" ht="18" customHeight="1">
      <c r="A16" s="77"/>
      <c r="B16" s="76" t="s">
        <v>23</v>
      </c>
      <c r="C16" s="75" t="s">
        <v>22</v>
      </c>
      <c r="D16" s="82"/>
      <c r="E16" s="71"/>
      <c r="F16" s="71"/>
      <c r="G16" s="71"/>
      <c r="H16" s="71"/>
      <c r="I16" s="71"/>
      <c r="J16" s="70"/>
      <c r="K16" s="82"/>
      <c r="L16" s="71"/>
      <c r="M16" s="71"/>
      <c r="N16" s="71"/>
      <c r="O16" s="71"/>
      <c r="P16" s="71"/>
      <c r="Q16" s="70"/>
      <c r="R16" s="82"/>
      <c r="S16" s="71"/>
      <c r="T16" s="71"/>
      <c r="U16" s="71"/>
      <c r="V16" s="71"/>
      <c r="W16" s="71"/>
      <c r="X16" s="70"/>
      <c r="Y16" s="82"/>
      <c r="Z16" s="71"/>
      <c r="AA16" s="71"/>
      <c r="AB16" s="71"/>
      <c r="AC16" s="71"/>
      <c r="AD16" s="71"/>
      <c r="AE16" s="70"/>
      <c r="AF16" s="69">
        <f>SUM(D16:AE16)</f>
        <v>0</v>
      </c>
      <c r="AG16" s="78"/>
      <c r="AH16" s="23"/>
    </row>
    <row r="17" spans="1:34" ht="18" customHeight="1">
      <c r="A17" s="77"/>
      <c r="B17" s="76"/>
      <c r="C17" s="75"/>
      <c r="D17" s="82"/>
      <c r="E17" s="71"/>
      <c r="F17" s="71"/>
      <c r="G17" s="71"/>
      <c r="H17" s="71"/>
      <c r="I17" s="71"/>
      <c r="J17" s="70"/>
      <c r="K17" s="82"/>
      <c r="L17" s="71"/>
      <c r="M17" s="71"/>
      <c r="N17" s="71"/>
      <c r="O17" s="71"/>
      <c r="P17" s="71"/>
      <c r="Q17" s="70"/>
      <c r="R17" s="82"/>
      <c r="S17" s="71"/>
      <c r="T17" s="71"/>
      <c r="U17" s="71"/>
      <c r="V17" s="71"/>
      <c r="W17" s="71"/>
      <c r="X17" s="70"/>
      <c r="Y17" s="82"/>
      <c r="Z17" s="71"/>
      <c r="AA17" s="71"/>
      <c r="AB17" s="71"/>
      <c r="AC17" s="71"/>
      <c r="AD17" s="71"/>
      <c r="AE17" s="70"/>
      <c r="AF17" s="69">
        <f>SUM(D17:AE17)</f>
        <v>0</v>
      </c>
      <c r="AG17" s="78"/>
      <c r="AH17" s="23"/>
    </row>
    <row r="18" spans="1:34" ht="18" customHeight="1">
      <c r="A18" s="77"/>
      <c r="B18" s="76" t="s">
        <v>19</v>
      </c>
      <c r="C18" s="75" t="s">
        <v>21</v>
      </c>
      <c r="D18" s="82"/>
      <c r="E18" s="71"/>
      <c r="F18" s="71"/>
      <c r="G18" s="71"/>
      <c r="H18" s="71"/>
      <c r="I18" s="71"/>
      <c r="J18" s="70"/>
      <c r="K18" s="82"/>
      <c r="L18" s="71"/>
      <c r="M18" s="71"/>
      <c r="N18" s="71"/>
      <c r="O18" s="71"/>
      <c r="P18" s="71"/>
      <c r="Q18" s="70"/>
      <c r="R18" s="82"/>
      <c r="S18" s="71"/>
      <c r="T18" s="71"/>
      <c r="U18" s="71"/>
      <c r="V18" s="71"/>
      <c r="W18" s="71"/>
      <c r="X18" s="70"/>
      <c r="Y18" s="82"/>
      <c r="Z18" s="71"/>
      <c r="AA18" s="71"/>
      <c r="AB18" s="71"/>
      <c r="AC18" s="71"/>
      <c r="AD18" s="71"/>
      <c r="AE18" s="70"/>
      <c r="AF18" s="69">
        <f>SUM(D18:AE18)</f>
        <v>0</v>
      </c>
      <c r="AG18" s="78"/>
      <c r="AH18" s="23"/>
    </row>
    <row r="19" spans="1:34" ht="18" customHeight="1">
      <c r="A19" s="77"/>
      <c r="B19" s="76" t="s">
        <v>19</v>
      </c>
      <c r="C19" s="75" t="s">
        <v>20</v>
      </c>
      <c r="D19" s="82"/>
      <c r="E19" s="71"/>
      <c r="F19" s="71"/>
      <c r="G19" s="71"/>
      <c r="H19" s="71"/>
      <c r="I19" s="71"/>
      <c r="J19" s="70"/>
      <c r="K19" s="82"/>
      <c r="L19" s="71"/>
      <c r="M19" s="71"/>
      <c r="N19" s="71"/>
      <c r="O19" s="71"/>
      <c r="P19" s="71"/>
      <c r="Q19" s="70"/>
      <c r="R19" s="82"/>
      <c r="S19" s="71"/>
      <c r="T19" s="71"/>
      <c r="U19" s="71"/>
      <c r="V19" s="71"/>
      <c r="W19" s="71"/>
      <c r="X19" s="70"/>
      <c r="Y19" s="82"/>
      <c r="Z19" s="71"/>
      <c r="AA19" s="71"/>
      <c r="AB19" s="71"/>
      <c r="AC19" s="71"/>
      <c r="AD19" s="71"/>
      <c r="AE19" s="70"/>
      <c r="AF19" s="69">
        <f>SUM(D19:AE19)</f>
        <v>0</v>
      </c>
      <c r="AG19" s="78"/>
      <c r="AH19" s="23"/>
    </row>
    <row r="20" spans="1:34" ht="18" customHeight="1">
      <c r="A20" s="77"/>
      <c r="B20" s="76"/>
      <c r="C20" s="75"/>
      <c r="D20" s="82"/>
      <c r="E20" s="71"/>
      <c r="F20" s="71"/>
      <c r="G20" s="71"/>
      <c r="H20" s="71"/>
      <c r="I20" s="71"/>
      <c r="J20" s="70"/>
      <c r="K20" s="82"/>
      <c r="L20" s="71"/>
      <c r="M20" s="71"/>
      <c r="N20" s="71"/>
      <c r="O20" s="71"/>
      <c r="P20" s="71"/>
      <c r="Q20" s="70"/>
      <c r="R20" s="82"/>
      <c r="S20" s="71"/>
      <c r="T20" s="71"/>
      <c r="U20" s="71"/>
      <c r="V20" s="71"/>
      <c r="W20" s="71"/>
      <c r="X20" s="70"/>
      <c r="Y20" s="82"/>
      <c r="Z20" s="71"/>
      <c r="AA20" s="71"/>
      <c r="AB20" s="71"/>
      <c r="AC20" s="71"/>
      <c r="AD20" s="71"/>
      <c r="AE20" s="70"/>
      <c r="AF20" s="69">
        <f>SUM(D20:AE20)</f>
        <v>0</v>
      </c>
      <c r="AG20" s="78"/>
      <c r="AH20" s="23"/>
    </row>
    <row r="21" spans="1:34" ht="18" customHeight="1">
      <c r="A21" s="77"/>
      <c r="B21" s="76"/>
      <c r="C21" s="75"/>
      <c r="D21" s="81"/>
      <c r="E21" s="80"/>
      <c r="F21" s="80"/>
      <c r="G21" s="80"/>
      <c r="H21" s="80"/>
      <c r="I21" s="80"/>
      <c r="J21" s="79"/>
      <c r="K21" s="81"/>
      <c r="L21" s="80"/>
      <c r="M21" s="80"/>
      <c r="N21" s="80"/>
      <c r="O21" s="80"/>
      <c r="P21" s="80"/>
      <c r="Q21" s="79"/>
      <c r="R21" s="81"/>
      <c r="S21" s="80"/>
      <c r="T21" s="80"/>
      <c r="U21" s="80"/>
      <c r="V21" s="80"/>
      <c r="W21" s="80"/>
      <c r="X21" s="79"/>
      <c r="Y21" s="81"/>
      <c r="Z21" s="80"/>
      <c r="AA21" s="80"/>
      <c r="AB21" s="80"/>
      <c r="AC21" s="80"/>
      <c r="AD21" s="80"/>
      <c r="AE21" s="79"/>
      <c r="AF21" s="69">
        <f>SUM(D21:AE21)</f>
        <v>0</v>
      </c>
      <c r="AG21" s="78"/>
      <c r="AH21" s="23"/>
    </row>
    <row r="22" spans="1:34" ht="18" customHeight="1">
      <c r="A22" s="77"/>
      <c r="B22" s="76"/>
      <c r="C22" s="75"/>
      <c r="D22" s="74"/>
      <c r="E22" s="73"/>
      <c r="F22" s="72"/>
      <c r="G22" s="72"/>
      <c r="H22" s="72"/>
      <c r="I22" s="71"/>
      <c r="J22" s="70"/>
      <c r="K22" s="74"/>
      <c r="L22" s="73"/>
      <c r="M22" s="72"/>
      <c r="N22" s="72"/>
      <c r="O22" s="72"/>
      <c r="P22" s="71"/>
      <c r="Q22" s="70"/>
      <c r="R22" s="74"/>
      <c r="S22" s="73"/>
      <c r="T22" s="72"/>
      <c r="U22" s="72"/>
      <c r="V22" s="72"/>
      <c r="W22" s="71"/>
      <c r="X22" s="70"/>
      <c r="Y22" s="74"/>
      <c r="Z22" s="73"/>
      <c r="AA22" s="72"/>
      <c r="AB22" s="72"/>
      <c r="AC22" s="72"/>
      <c r="AD22" s="71"/>
      <c r="AE22" s="70"/>
      <c r="AF22" s="69">
        <f>SUM(D22:AE22)</f>
        <v>0</v>
      </c>
      <c r="AG22" s="68"/>
      <c r="AH22" s="23"/>
    </row>
    <row r="23" spans="1:34" ht="18" customHeight="1">
      <c r="A23" s="67" t="s">
        <v>18</v>
      </c>
      <c r="B23" s="60" t="s">
        <v>17</v>
      </c>
      <c r="C23" s="66" t="s">
        <v>16</v>
      </c>
      <c r="D23" s="65"/>
      <c r="E23" s="64"/>
      <c r="F23" s="64"/>
      <c r="G23" s="64"/>
      <c r="H23" s="64"/>
      <c r="I23" s="64"/>
      <c r="J23" s="63"/>
      <c r="K23" s="65"/>
      <c r="L23" s="64"/>
      <c r="M23" s="64"/>
      <c r="N23" s="64"/>
      <c r="O23" s="64"/>
      <c r="P23" s="64"/>
      <c r="Q23" s="63"/>
      <c r="R23" s="65"/>
      <c r="S23" s="64"/>
      <c r="T23" s="64"/>
      <c r="U23" s="64"/>
      <c r="V23" s="64"/>
      <c r="W23" s="64"/>
      <c r="X23" s="63"/>
      <c r="Y23" s="65"/>
      <c r="Z23" s="64"/>
      <c r="AA23" s="64"/>
      <c r="AB23" s="64"/>
      <c r="AC23" s="64"/>
      <c r="AD23" s="64"/>
      <c r="AE23" s="63"/>
      <c r="AF23" s="55">
        <f>SUM(D23:AE23)</f>
        <v>0</v>
      </c>
      <c r="AG23" s="62">
        <f>SUM(AF23:AF24)/32</f>
        <v>0</v>
      </c>
      <c r="AH23" s="23" t="s">
        <v>15</v>
      </c>
    </row>
    <row r="24" spans="1:34" ht="18" customHeight="1">
      <c r="A24" s="61"/>
      <c r="B24" s="60"/>
      <c r="C24" s="59"/>
      <c r="D24" s="58"/>
      <c r="E24" s="57"/>
      <c r="F24" s="57"/>
      <c r="G24" s="57"/>
      <c r="H24" s="57"/>
      <c r="I24" s="57"/>
      <c r="J24" s="56"/>
      <c r="K24" s="58"/>
      <c r="L24" s="57"/>
      <c r="M24" s="57"/>
      <c r="N24" s="57"/>
      <c r="O24" s="57"/>
      <c r="P24" s="57"/>
      <c r="Q24" s="56"/>
      <c r="R24" s="58"/>
      <c r="S24" s="57"/>
      <c r="T24" s="57"/>
      <c r="U24" s="57"/>
      <c r="V24" s="57"/>
      <c r="W24" s="57"/>
      <c r="X24" s="56"/>
      <c r="Y24" s="58"/>
      <c r="Z24" s="57"/>
      <c r="AA24" s="57"/>
      <c r="AB24" s="57"/>
      <c r="AC24" s="57"/>
      <c r="AD24" s="57"/>
      <c r="AE24" s="56"/>
      <c r="AF24" s="55">
        <f>SUM(D24:AE24)</f>
        <v>0</v>
      </c>
      <c r="AG24" s="54"/>
      <c r="AH24" s="23"/>
    </row>
    <row r="25" spans="1:34" ht="18" customHeight="1">
      <c r="A25" s="53"/>
      <c r="B25" s="52"/>
      <c r="C25" s="51"/>
      <c r="D25" s="47"/>
      <c r="E25" s="50"/>
      <c r="F25" s="50"/>
      <c r="G25" s="50"/>
      <c r="H25" s="50"/>
      <c r="I25" s="49"/>
      <c r="J25" s="48"/>
      <c r="K25" s="47"/>
      <c r="L25" s="46"/>
      <c r="M25" s="46"/>
      <c r="N25" s="46"/>
      <c r="O25" s="46"/>
      <c r="P25" s="45"/>
      <c r="Q25" s="44"/>
      <c r="R25" s="47"/>
      <c r="S25" s="46"/>
      <c r="T25" s="46"/>
      <c r="U25" s="46"/>
      <c r="V25" s="46"/>
      <c r="W25" s="45"/>
      <c r="X25" s="44"/>
      <c r="Y25" s="47"/>
      <c r="Z25" s="46"/>
      <c r="AA25" s="46"/>
      <c r="AB25" s="46"/>
      <c r="AC25" s="46"/>
      <c r="AD25" s="45"/>
      <c r="AE25" s="44"/>
      <c r="AF25" s="43"/>
      <c r="AG25" s="42"/>
      <c r="AH25" s="23"/>
    </row>
    <row r="26" spans="1:34" ht="18" customHeight="1">
      <c r="A26" s="34"/>
      <c r="B26" s="30"/>
      <c r="C26" s="41"/>
      <c r="D26" s="28"/>
      <c r="E26" s="27"/>
      <c r="F26" s="27"/>
      <c r="G26" s="27"/>
      <c r="H26" s="27"/>
      <c r="I26" s="27"/>
      <c r="J26" s="26"/>
      <c r="K26" s="28"/>
      <c r="L26" s="27"/>
      <c r="M26" s="27"/>
      <c r="N26" s="27"/>
      <c r="O26" s="27"/>
      <c r="P26" s="27"/>
      <c r="Q26" s="26"/>
      <c r="R26" s="28"/>
      <c r="S26" s="27"/>
      <c r="T26" s="27"/>
      <c r="U26" s="27"/>
      <c r="V26" s="27"/>
      <c r="W26" s="27"/>
      <c r="X26" s="26"/>
      <c r="Y26" s="28"/>
      <c r="Z26" s="27"/>
      <c r="AA26" s="27"/>
      <c r="AB26" s="27"/>
      <c r="AC26" s="27"/>
      <c r="AD26" s="27"/>
      <c r="AE26" s="26"/>
      <c r="AF26" s="25"/>
      <c r="AG26" s="40"/>
      <c r="AH26" s="23"/>
    </row>
    <row r="27" spans="1:34" ht="18" customHeight="1">
      <c r="A27" s="34"/>
      <c r="B27" s="30"/>
      <c r="C27" s="29"/>
      <c r="D27" s="28"/>
      <c r="E27" s="27"/>
      <c r="F27" s="27"/>
      <c r="G27" s="27"/>
      <c r="H27" s="27"/>
      <c r="I27" s="27"/>
      <c r="J27" s="26"/>
      <c r="K27" s="28"/>
      <c r="L27" s="28"/>
      <c r="M27" s="28"/>
      <c r="N27" s="28"/>
      <c r="O27" s="28"/>
      <c r="P27" s="28"/>
      <c r="Q27" s="33"/>
      <c r="R27" s="28"/>
      <c r="S27" s="28"/>
      <c r="T27" s="28"/>
      <c r="U27" s="28"/>
      <c r="V27" s="28"/>
      <c r="W27" s="28"/>
      <c r="X27" s="33"/>
      <c r="Y27" s="28"/>
      <c r="Z27" s="28"/>
      <c r="AA27" s="28"/>
      <c r="AB27" s="28"/>
      <c r="AC27" s="28"/>
      <c r="AD27" s="28"/>
      <c r="AE27" s="33"/>
      <c r="AF27" s="25"/>
      <c r="AG27" s="39"/>
      <c r="AH27" s="23"/>
    </row>
    <row r="28" spans="1:34" ht="18" customHeight="1">
      <c r="A28" s="34"/>
      <c r="B28" s="30"/>
      <c r="C28" s="29"/>
      <c r="D28" s="28"/>
      <c r="E28" s="27"/>
      <c r="F28" s="27"/>
      <c r="G28" s="27"/>
      <c r="H28" s="27"/>
      <c r="I28" s="27"/>
      <c r="J28" s="26"/>
      <c r="K28" s="28"/>
      <c r="L28" s="27"/>
      <c r="M28" s="27"/>
      <c r="N28" s="27"/>
      <c r="O28" s="27"/>
      <c r="P28" s="27"/>
      <c r="Q28" s="26"/>
      <c r="R28" s="28"/>
      <c r="S28" s="27"/>
      <c r="T28" s="27"/>
      <c r="U28" s="27"/>
      <c r="V28" s="27"/>
      <c r="W28" s="27"/>
      <c r="X28" s="26"/>
      <c r="Y28" s="28"/>
      <c r="Z28" s="27"/>
      <c r="AA28" s="27"/>
      <c r="AB28" s="27"/>
      <c r="AC28" s="27"/>
      <c r="AD28" s="27"/>
      <c r="AE28" s="26"/>
      <c r="AF28" s="25"/>
      <c r="AG28" s="24"/>
      <c r="AH28" s="23"/>
    </row>
    <row r="29" spans="1:34" ht="18" customHeight="1">
      <c r="A29" s="34"/>
      <c r="B29" s="30"/>
      <c r="C29" s="29"/>
      <c r="D29" s="28"/>
      <c r="E29" s="27"/>
      <c r="F29" s="27"/>
      <c r="G29" s="27"/>
      <c r="H29" s="27"/>
      <c r="I29" s="27"/>
      <c r="J29" s="26"/>
      <c r="K29" s="28"/>
      <c r="L29" s="27"/>
      <c r="M29" s="27"/>
      <c r="N29" s="27"/>
      <c r="O29" s="27"/>
      <c r="P29" s="27"/>
      <c r="Q29" s="26"/>
      <c r="R29" s="28"/>
      <c r="S29" s="27"/>
      <c r="T29" s="27"/>
      <c r="U29" s="27"/>
      <c r="V29" s="27"/>
      <c r="W29" s="27"/>
      <c r="X29" s="26"/>
      <c r="Y29" s="28"/>
      <c r="Z29" s="27"/>
      <c r="AA29" s="27"/>
      <c r="AB29" s="27"/>
      <c r="AC29" s="27"/>
      <c r="AD29" s="27"/>
      <c r="AE29" s="26"/>
      <c r="AF29" s="25"/>
      <c r="AG29" s="35"/>
      <c r="AH29" s="23"/>
    </row>
    <row r="30" spans="1:34" ht="18" customHeight="1">
      <c r="A30" s="34"/>
      <c r="B30" s="30"/>
      <c r="C30" s="29"/>
      <c r="D30" s="28"/>
      <c r="E30" s="27"/>
      <c r="F30" s="27"/>
      <c r="G30" s="27"/>
      <c r="H30" s="27"/>
      <c r="I30" s="27"/>
      <c r="J30" s="26"/>
      <c r="K30" s="28"/>
      <c r="L30" s="28"/>
      <c r="M30" s="28"/>
      <c r="N30" s="28"/>
      <c r="O30" s="28"/>
      <c r="P30" s="28"/>
      <c r="Q30" s="33"/>
      <c r="R30" s="28"/>
      <c r="S30" s="28"/>
      <c r="T30" s="28"/>
      <c r="U30" s="28"/>
      <c r="V30" s="28"/>
      <c r="W30" s="28"/>
      <c r="X30" s="33"/>
      <c r="Y30" s="28"/>
      <c r="Z30" s="28"/>
      <c r="AA30" s="28"/>
      <c r="AB30" s="28"/>
      <c r="AC30" s="28"/>
      <c r="AD30" s="28"/>
      <c r="AE30" s="33"/>
      <c r="AF30" s="25"/>
      <c r="AG30" s="35"/>
      <c r="AH30" s="23"/>
    </row>
    <row r="31" spans="1:34" ht="18" customHeight="1">
      <c r="A31" s="34"/>
      <c r="B31" s="30"/>
      <c r="C31" s="29"/>
      <c r="D31" s="28"/>
      <c r="E31" s="27"/>
      <c r="F31" s="27"/>
      <c r="G31" s="27"/>
      <c r="H31" s="27"/>
      <c r="I31" s="27"/>
      <c r="J31" s="26"/>
      <c r="K31" s="28"/>
      <c r="L31" s="27"/>
      <c r="M31" s="27"/>
      <c r="N31" s="27"/>
      <c r="O31" s="27"/>
      <c r="P31" s="27"/>
      <c r="Q31" s="26"/>
      <c r="R31" s="28"/>
      <c r="S31" s="27"/>
      <c r="T31" s="27"/>
      <c r="U31" s="27"/>
      <c r="V31" s="27"/>
      <c r="W31" s="27"/>
      <c r="X31" s="26"/>
      <c r="Y31" s="28"/>
      <c r="Z31" s="27"/>
      <c r="AA31" s="27"/>
      <c r="AB31" s="27"/>
      <c r="AC31" s="27"/>
      <c r="AD31" s="27"/>
      <c r="AE31" s="26"/>
      <c r="AF31" s="25"/>
      <c r="AG31" s="35"/>
      <c r="AH31" s="23"/>
    </row>
    <row r="32" spans="1:34" ht="18" customHeight="1">
      <c r="A32" s="34"/>
      <c r="B32" s="30"/>
      <c r="C32" s="29"/>
      <c r="D32" s="28"/>
      <c r="E32" s="27"/>
      <c r="F32" s="27"/>
      <c r="G32" s="27"/>
      <c r="H32" s="27"/>
      <c r="I32" s="27"/>
      <c r="J32" s="26"/>
      <c r="K32" s="28"/>
      <c r="L32" s="28"/>
      <c r="M32" s="28"/>
      <c r="N32" s="28"/>
      <c r="O32" s="28"/>
      <c r="P32" s="28"/>
      <c r="Q32" s="33"/>
      <c r="R32" s="28"/>
      <c r="S32" s="28"/>
      <c r="T32" s="28"/>
      <c r="U32" s="28"/>
      <c r="V32" s="28"/>
      <c r="W32" s="28"/>
      <c r="X32" s="33"/>
      <c r="Y32" s="28"/>
      <c r="Z32" s="28"/>
      <c r="AA32" s="28"/>
      <c r="AB32" s="28"/>
      <c r="AC32" s="28"/>
      <c r="AD32" s="28"/>
      <c r="AE32" s="33"/>
      <c r="AF32" s="25"/>
      <c r="AG32" s="35"/>
      <c r="AH32" s="23"/>
    </row>
    <row r="33" spans="1:34" ht="18" customHeight="1">
      <c r="A33" s="34"/>
      <c r="B33" s="30"/>
      <c r="C33" s="29"/>
      <c r="D33" s="38"/>
      <c r="E33" s="36"/>
      <c r="F33" s="36"/>
      <c r="G33" s="36"/>
      <c r="H33" s="36"/>
      <c r="I33" s="36"/>
      <c r="J33" s="37"/>
      <c r="K33" s="38"/>
      <c r="L33" s="36"/>
      <c r="M33" s="36"/>
      <c r="N33" s="36"/>
      <c r="O33" s="36"/>
      <c r="P33" s="36"/>
      <c r="Q33" s="37"/>
      <c r="R33" s="38"/>
      <c r="S33" s="36"/>
      <c r="T33" s="36"/>
      <c r="U33" s="36"/>
      <c r="V33" s="36"/>
      <c r="W33" s="36"/>
      <c r="X33" s="37"/>
      <c r="Y33" s="38"/>
      <c r="Z33" s="36"/>
      <c r="AA33" s="36"/>
      <c r="AB33" s="36"/>
      <c r="AC33" s="36"/>
      <c r="AD33" s="36"/>
      <c r="AE33" s="37"/>
      <c r="AF33" s="25"/>
      <c r="AG33" s="35"/>
      <c r="AH33" s="23"/>
    </row>
    <row r="34" spans="1:34" ht="18" customHeight="1">
      <c r="A34" s="34"/>
      <c r="B34" s="30"/>
      <c r="C34" s="29"/>
      <c r="D34" s="28"/>
      <c r="E34" s="27"/>
      <c r="F34" s="27"/>
      <c r="G34" s="27"/>
      <c r="H34" s="36"/>
      <c r="I34" s="27"/>
      <c r="J34" s="26"/>
      <c r="K34" s="28"/>
      <c r="L34" s="28"/>
      <c r="M34" s="28"/>
      <c r="N34" s="28"/>
      <c r="O34" s="28"/>
      <c r="P34" s="28"/>
      <c r="Q34" s="33"/>
      <c r="R34" s="28"/>
      <c r="S34" s="28"/>
      <c r="T34" s="28"/>
      <c r="U34" s="28"/>
      <c r="V34" s="28"/>
      <c r="W34" s="28"/>
      <c r="X34" s="33"/>
      <c r="Y34" s="28"/>
      <c r="Z34" s="28"/>
      <c r="AA34" s="28"/>
      <c r="AB34" s="28"/>
      <c r="AC34" s="28"/>
      <c r="AD34" s="28"/>
      <c r="AE34" s="33"/>
      <c r="AF34" s="25"/>
      <c r="AG34" s="35"/>
      <c r="AH34" s="23"/>
    </row>
    <row r="35" spans="1:34" ht="18" customHeight="1">
      <c r="A35" s="34"/>
      <c r="B35" s="30"/>
      <c r="C35" s="29"/>
      <c r="D35" s="28"/>
      <c r="E35" s="27"/>
      <c r="F35" s="27"/>
      <c r="G35" s="27"/>
      <c r="H35" s="27"/>
      <c r="I35" s="27"/>
      <c r="J35" s="26"/>
      <c r="K35" s="28"/>
      <c r="L35" s="28"/>
      <c r="M35" s="28"/>
      <c r="N35" s="28"/>
      <c r="O35" s="28"/>
      <c r="P35" s="28"/>
      <c r="Q35" s="33"/>
      <c r="R35" s="28"/>
      <c r="S35" s="28"/>
      <c r="T35" s="28"/>
      <c r="U35" s="28"/>
      <c r="V35" s="28"/>
      <c r="W35" s="28"/>
      <c r="X35" s="33"/>
      <c r="Y35" s="28"/>
      <c r="Z35" s="28"/>
      <c r="AA35" s="28"/>
      <c r="AB35" s="28"/>
      <c r="AC35" s="28"/>
      <c r="AD35" s="28"/>
      <c r="AE35" s="33"/>
      <c r="AF35" s="25"/>
      <c r="AG35" s="32"/>
      <c r="AH35" s="23"/>
    </row>
    <row r="36" spans="1:34" ht="18" customHeight="1">
      <c r="A36" s="31"/>
      <c r="B36" s="30"/>
      <c r="C36" s="29"/>
      <c r="D36" s="28"/>
      <c r="E36" s="27"/>
      <c r="F36" s="27"/>
      <c r="G36" s="27"/>
      <c r="H36" s="27"/>
      <c r="I36" s="27"/>
      <c r="J36" s="26"/>
      <c r="K36" s="28"/>
      <c r="L36" s="27"/>
      <c r="M36" s="27"/>
      <c r="N36" s="27"/>
      <c r="O36" s="27"/>
      <c r="P36" s="27"/>
      <c r="Q36" s="26"/>
      <c r="R36" s="28"/>
      <c r="S36" s="27"/>
      <c r="T36" s="27"/>
      <c r="U36" s="27"/>
      <c r="V36" s="27"/>
      <c r="W36" s="27"/>
      <c r="X36" s="26"/>
      <c r="Y36" s="28"/>
      <c r="Z36" s="27"/>
      <c r="AA36" s="27"/>
      <c r="AB36" s="27"/>
      <c r="AC36" s="27"/>
      <c r="AD36" s="27"/>
      <c r="AE36" s="26"/>
      <c r="AF36" s="25"/>
      <c r="AG36" s="24"/>
      <c r="AH36" s="23"/>
    </row>
    <row r="37" spans="1:34" ht="18" customHeight="1" thickBot="1">
      <c r="A37" s="22"/>
      <c r="B37" s="21"/>
      <c r="C37" s="20"/>
      <c r="D37" s="17"/>
      <c r="E37" s="19"/>
      <c r="F37" s="19"/>
      <c r="G37" s="19"/>
      <c r="H37" s="19"/>
      <c r="I37" s="19"/>
      <c r="J37" s="18"/>
      <c r="K37" s="17"/>
      <c r="L37" s="17"/>
      <c r="M37" s="17"/>
      <c r="N37" s="17"/>
      <c r="O37" s="17"/>
      <c r="P37" s="17"/>
      <c r="Q37" s="16"/>
      <c r="R37" s="17"/>
      <c r="S37" s="17"/>
      <c r="T37" s="17"/>
      <c r="U37" s="17"/>
      <c r="V37" s="17"/>
      <c r="W37" s="17"/>
      <c r="X37" s="16"/>
      <c r="Y37" s="17"/>
      <c r="Z37" s="17"/>
      <c r="AA37" s="17"/>
      <c r="AB37" s="17"/>
      <c r="AC37" s="17"/>
      <c r="AD37" s="17"/>
      <c r="AE37" s="16"/>
      <c r="AF37" s="15"/>
      <c r="AG37" s="14"/>
      <c r="AH37" s="13"/>
    </row>
    <row r="38" spans="1:34" ht="18" customHeight="1">
      <c r="A38" s="1" t="s">
        <v>14</v>
      </c>
    </row>
    <row r="39" spans="1:34" ht="18" customHeight="1">
      <c r="A39" s="1" t="s">
        <v>13</v>
      </c>
    </row>
    <row r="40" spans="1:34" ht="18" customHeight="1">
      <c r="A40" s="12" t="s">
        <v>12</v>
      </c>
      <c r="B40" s="11"/>
      <c r="C40" s="11"/>
    </row>
    <row r="41" spans="1:34" ht="18" customHeight="1">
      <c r="A41" s="10" t="s">
        <v>11</v>
      </c>
      <c r="B41" s="9" t="s">
        <v>10</v>
      </c>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7"/>
    </row>
    <row r="42" spans="1:34" ht="18" customHeight="1">
      <c r="A42" s="6" t="s">
        <v>9</v>
      </c>
      <c r="B42" s="5" t="s">
        <v>8</v>
      </c>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3"/>
    </row>
    <row r="43" spans="1:34" ht="18" customHeight="1">
      <c r="A43" s="6" t="s">
        <v>7</v>
      </c>
      <c r="B43" s="5" t="s">
        <v>6</v>
      </c>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3"/>
    </row>
    <row r="44" spans="1:34" ht="18" customHeight="1">
      <c r="A44" s="6" t="s">
        <v>5</v>
      </c>
      <c r="B44" s="5" t="s">
        <v>4</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3"/>
    </row>
    <row r="45" spans="1:34" ht="18" customHeight="1">
      <c r="A45" s="1" t="s">
        <v>3</v>
      </c>
    </row>
    <row r="46" spans="1:34" ht="18" customHeight="1">
      <c r="A46" s="2" t="s">
        <v>2</v>
      </c>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row>
    <row r="47" spans="1:34" ht="18" customHeight="1">
      <c r="A47" s="1" t="s">
        <v>1</v>
      </c>
      <c r="AH47" s="1" t="s">
        <v>0</v>
      </c>
    </row>
    <row r="48" spans="1:34" ht="18" customHeight="1"/>
  </sheetData>
  <mergeCells count="15">
    <mergeCell ref="AG15:AG22"/>
    <mergeCell ref="D7:J7"/>
    <mergeCell ref="K7:Q7"/>
    <mergeCell ref="R7:X7"/>
    <mergeCell ref="Y7:AE7"/>
    <mergeCell ref="AG13:AG14"/>
    <mergeCell ref="B43:AH43"/>
    <mergeCell ref="B44:AH44"/>
    <mergeCell ref="A46:AH46"/>
    <mergeCell ref="AG23:AG24"/>
    <mergeCell ref="AG26:AG27"/>
    <mergeCell ref="AG28:AG35"/>
    <mergeCell ref="AG36:AG37"/>
    <mergeCell ref="B41:AH41"/>
    <mergeCell ref="B42:AH42"/>
  </mergeCells>
  <phoneticPr fontId="3"/>
  <printOptions horizontalCentered="1" verticalCentered="1"/>
  <pageMargins left="0.79000000000000015" right="0.79000000000000015" top="0.39000000000000007" bottom="0" header="0.51" footer="0.24000000000000002"/>
  <pageSetup paperSize="9" scale="6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R8.7(半日型）</vt:lpstr>
      <vt:lpstr>R8.7 (1日型)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ＬＩＦＥＰＬＵＳ 合同会社</dc:creator>
  <cp:lastModifiedBy>ＬＩＦＥＰＬＵＳ 合同会社</cp:lastModifiedBy>
  <dcterms:created xsi:type="dcterms:W3CDTF">2026-07-09T07:32:40Z</dcterms:created>
  <dcterms:modified xsi:type="dcterms:W3CDTF">2026-07-09T07:41:13Z</dcterms:modified>
</cp:coreProperties>
</file>